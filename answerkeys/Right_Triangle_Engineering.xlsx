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agorean" sheetId="1" state="visible" r:id="rId1"/>
    <sheet xmlns:r="http://schemas.openxmlformats.org/officeDocument/2006/relationships" name="Trigonometry" sheetId="2" state="visible" r:id="rId2"/>
    <sheet xmlns:r="http://schemas.openxmlformats.org/officeDocument/2006/relationships" name="Ladder Problem" sheetId="3" state="visible" r:id="rId3"/>
    <sheet xmlns:r="http://schemas.openxmlformats.org/officeDocument/2006/relationships" name="3D Diag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Pythagorean Theorem — c = √(a² + b²)</t>
        </is>
      </c>
    </row>
    <row r="2" ht="18" customHeight="1">
      <c r="A2" s="2" t="inlineStr">
        <is>
          <t>Classic right triangles</t>
        </is>
      </c>
    </row>
    <row r="3" ht="32" customHeight="1">
      <c r="A3" s="3" t="inlineStr">
        <is>
          <t>a</t>
        </is>
      </c>
      <c r="B3" s="3" t="inlineStr">
        <is>
          <t>b</t>
        </is>
      </c>
      <c r="C3" s="3" t="inlineStr">
        <is>
          <t>c (hyp)</t>
        </is>
      </c>
      <c r="D3" s="3" t="inlineStr">
        <is>
          <t>c² check</t>
        </is>
      </c>
    </row>
    <row r="4">
      <c r="A4" s="4" t="n">
        <v>3</v>
      </c>
      <c r="B4" s="4" t="n">
        <v>4</v>
      </c>
      <c r="C4" s="5">
        <f>SQRT(A4^2+B4^2)</f>
        <v/>
      </c>
      <c r="D4" s="5">
        <f>A4^2+B4^2</f>
        <v/>
      </c>
    </row>
    <row r="5">
      <c r="A5" s="4" t="n">
        <v>5</v>
      </c>
      <c r="B5" s="4" t="n">
        <v>12</v>
      </c>
      <c r="C5" s="5">
        <f>SQRT(A5^2+B5^2)</f>
        <v/>
      </c>
      <c r="D5" s="5">
        <f>A5^2+B5^2</f>
        <v/>
      </c>
    </row>
    <row r="6">
      <c r="A6" s="4" t="n">
        <v>6</v>
      </c>
      <c r="B6" s="4" t="n">
        <v>8</v>
      </c>
      <c r="C6" s="5">
        <f>SQRT(A6^2+B6^2)</f>
        <v/>
      </c>
      <c r="D6" s="5">
        <f>A6^2+B6^2</f>
        <v/>
      </c>
    </row>
    <row r="7">
      <c r="A7" s="4" t="n">
        <v>8</v>
      </c>
      <c r="B7" s="4" t="n">
        <v>15</v>
      </c>
      <c r="C7" s="5">
        <f>SQRT(A7^2+B7^2)</f>
        <v/>
      </c>
      <c r="D7" s="5">
        <f>A7^2+B7^2</f>
        <v/>
      </c>
    </row>
    <row r="8">
      <c r="A8" s="4" t="n">
        <v>7</v>
      </c>
      <c r="B8" s="4" t="n">
        <v>24</v>
      </c>
      <c r="C8" s="5">
        <f>SQRT(A8^2+B8^2)</f>
        <v/>
      </c>
      <c r="D8" s="5">
        <f>A8^2+B8^2</f>
        <v/>
      </c>
    </row>
    <row r="9">
      <c r="A9" s="4" t="n">
        <v>9</v>
      </c>
      <c r="B9" s="4" t="n">
        <v>12</v>
      </c>
      <c r="C9" s="5">
        <f>SQRT(A9^2+B9^2)</f>
        <v/>
      </c>
      <c r="D9" s="5">
        <f>A9^2+B9^2</f>
        <v/>
      </c>
    </row>
    <row r="10">
      <c r="A10" s="4" t="n">
        <v>10</v>
      </c>
      <c r="B10" s="4" t="n">
        <v>24</v>
      </c>
      <c r="C10" s="5">
        <f>SQRT(A10^2+B10^2)</f>
        <v/>
      </c>
      <c r="D10" s="5">
        <f>A10^2+B10^2</f>
        <v/>
      </c>
    </row>
    <row r="11">
      <c r="A11" s="4" t="n">
        <v>20</v>
      </c>
      <c r="B11" s="4" t="n">
        <v>21</v>
      </c>
      <c r="C11" s="5">
        <f>SQRT(A11^2+B11^2)</f>
        <v/>
      </c>
      <c r="D11" s="5">
        <f>A11^2+B11^2</f>
        <v/>
      </c>
    </row>
    <row r="12">
      <c r="A12" s="4" t="n">
        <v>9</v>
      </c>
      <c r="B12" s="4" t="n">
        <v>40</v>
      </c>
      <c r="C12" s="5">
        <f>SQRT(A12^2+B12^2)</f>
        <v/>
      </c>
      <c r="D12" s="5">
        <f>A12^2+B12^2</f>
        <v/>
      </c>
    </row>
    <row r="13">
      <c r="A13" s="4" t="n">
        <v>12</v>
      </c>
      <c r="B13" s="4" t="n">
        <v>35</v>
      </c>
      <c r="C13" s="5">
        <f>SQRT(A13^2+B13^2)</f>
        <v/>
      </c>
      <c r="D13" s="5">
        <f>A13^2+B13^2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Right Triangle Trig (sin, cos, tan)</t>
        </is>
      </c>
    </row>
    <row r="2" ht="18" customHeight="1">
      <c r="A2" s="2" t="inlineStr">
        <is>
          <t>Angle in degrees</t>
        </is>
      </c>
    </row>
    <row r="3" ht="32" customHeight="1">
      <c r="A3" s="3" t="inlineStr">
        <is>
          <t>Angle (°)</t>
        </is>
      </c>
      <c r="B3" s="3" t="inlineStr">
        <is>
          <t>sin</t>
        </is>
      </c>
      <c r="C3" s="3" t="inlineStr">
        <is>
          <t>cos</t>
        </is>
      </c>
      <c r="D3" s="3" t="inlineStr">
        <is>
          <t>tan</t>
        </is>
      </c>
      <c r="E3" s="3" t="inlineStr">
        <is>
          <t>Use Case</t>
        </is>
      </c>
    </row>
    <row r="4">
      <c r="A4" s="4" t="n">
        <v>15</v>
      </c>
      <c r="B4" s="6">
        <f>SIN(RADIANS(A4))</f>
        <v/>
      </c>
      <c r="C4" s="6">
        <f>COS(RADIANS(A4))</f>
        <v/>
      </c>
      <c r="D4" s="6">
        <f>TAN(RADIANS(A4))</f>
        <v/>
      </c>
      <c r="E4" s="4" t="inlineStr">
        <is>
          <t>Wheelchair ramp</t>
        </is>
      </c>
    </row>
    <row r="5">
      <c r="A5" s="4" t="n">
        <v>20</v>
      </c>
      <c r="B5" s="6">
        <f>SIN(RADIANS(A5))</f>
        <v/>
      </c>
      <c r="C5" s="6">
        <f>COS(RADIANS(A5))</f>
        <v/>
      </c>
      <c r="D5" s="6">
        <f>TAN(RADIANS(A5))</f>
        <v/>
      </c>
      <c r="E5" s="4" t="inlineStr">
        <is>
          <t>Gentle slope</t>
        </is>
      </c>
    </row>
    <row r="6">
      <c r="A6" s="4" t="n">
        <v>30</v>
      </c>
      <c r="B6" s="6">
        <f>SIN(RADIANS(A6))</f>
        <v/>
      </c>
      <c r="C6" s="6">
        <f>COS(RADIANS(A6))</f>
        <v/>
      </c>
      <c r="D6" s="6">
        <f>TAN(RADIANS(A6))</f>
        <v/>
      </c>
      <c r="E6" s="4" t="inlineStr">
        <is>
          <t>Roof pitch</t>
        </is>
      </c>
    </row>
    <row r="7">
      <c r="A7" s="4" t="n">
        <v>37</v>
      </c>
      <c r="B7" s="6">
        <f>SIN(RADIANS(A7))</f>
        <v/>
      </c>
      <c r="C7" s="6">
        <f>COS(RADIANS(A7))</f>
        <v/>
      </c>
      <c r="D7" s="6">
        <f>TAN(RADIANS(A7))</f>
        <v/>
      </c>
      <c r="E7" s="4" t="inlineStr">
        <is>
          <t>Ladder lean</t>
        </is>
      </c>
    </row>
    <row r="8">
      <c r="A8" s="4" t="n">
        <v>45</v>
      </c>
      <c r="B8" s="6">
        <f>SIN(RADIANS(A8))</f>
        <v/>
      </c>
      <c r="C8" s="6">
        <f>COS(RADIANS(A8))</f>
        <v/>
      </c>
      <c r="D8" s="6">
        <f>TAN(RADIANS(A8))</f>
        <v/>
      </c>
      <c r="E8" s="4" t="inlineStr">
        <is>
          <t>Staircase</t>
        </is>
      </c>
    </row>
    <row r="9">
      <c r="A9" s="4" t="n">
        <v>53</v>
      </c>
      <c r="B9" s="6">
        <f>SIN(RADIANS(A9))</f>
        <v/>
      </c>
      <c r="C9" s="6">
        <f>COS(RADIANS(A9))</f>
        <v/>
      </c>
      <c r="D9" s="6">
        <f>TAN(RADIANS(A9))</f>
        <v/>
      </c>
      <c r="E9" s="4" t="inlineStr">
        <is>
          <t>Steep ramp</t>
        </is>
      </c>
    </row>
    <row r="10">
      <c r="A10" s="4" t="n">
        <v>60</v>
      </c>
      <c r="B10" s="6">
        <f>SIN(RADIANS(A10))</f>
        <v/>
      </c>
      <c r="C10" s="6">
        <f>COS(RADIANS(A10))</f>
        <v/>
      </c>
      <c r="D10" s="6">
        <f>TAN(RADIANS(A10))</f>
        <v/>
      </c>
      <c r="E10" s="4" t="inlineStr">
        <is>
          <t>Steep roof</t>
        </is>
      </c>
    </row>
    <row r="11">
      <c r="A11" s="4" t="n">
        <v>75</v>
      </c>
      <c r="B11" s="6">
        <f>SIN(RADIANS(A11))</f>
        <v/>
      </c>
      <c r="C11" s="6">
        <f>COS(RADIANS(A11))</f>
        <v/>
      </c>
      <c r="D11" s="6">
        <f>TAN(RADIANS(A11))</f>
        <v/>
      </c>
      <c r="E11" s="4" t="inlineStr">
        <is>
          <t>Tall wall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Ladder Against Wall</t>
        </is>
      </c>
    </row>
    <row r="2" ht="18" customHeight="1">
      <c r="A2" s="2" t="inlineStr">
        <is>
          <t>L = ladder length, d = distance from wall</t>
        </is>
      </c>
    </row>
    <row r="3" ht="32" customHeight="1">
      <c r="A3" s="3" t="inlineStr">
        <is>
          <t>L (m)</t>
        </is>
      </c>
      <c r="B3" s="3" t="inlineStr">
        <is>
          <t>d (m)</t>
        </is>
      </c>
      <c r="C3" s="3" t="inlineStr">
        <is>
          <t>Height reached</t>
        </is>
      </c>
      <c r="D3" s="3" t="inlineStr">
        <is>
          <t>Angle (°)</t>
        </is>
      </c>
      <c r="E3" s="3" t="inlineStr">
        <is>
          <t>Safe?</t>
        </is>
      </c>
    </row>
    <row r="4">
      <c r="A4" s="4" t="n">
        <v>4</v>
      </c>
      <c r="B4" s="4" t="n">
        <v>1</v>
      </c>
      <c r="C4" s="7">
        <f>SQRT(A4^2-B4^2)</f>
        <v/>
      </c>
      <c r="D4" s="8">
        <f>DEGREES(ACOS(B4/A4))</f>
        <v/>
      </c>
      <c r="E4" s="5">
        <f>IF(AND(D4&gt;=70,D4&lt;=80),"Safe","Adjust")</f>
        <v/>
      </c>
    </row>
    <row r="5">
      <c r="A5" s="4" t="n">
        <v>4</v>
      </c>
      <c r="B5" s="4" t="n">
        <v>1.5</v>
      </c>
      <c r="C5" s="7">
        <f>SQRT(A5^2-B5^2)</f>
        <v/>
      </c>
      <c r="D5" s="8">
        <f>DEGREES(ACOS(B5/A5))</f>
        <v/>
      </c>
      <c r="E5" s="5">
        <f>IF(AND(D5&gt;=70,D5&lt;=80),"Safe","Adjust")</f>
        <v/>
      </c>
    </row>
    <row r="6">
      <c r="A6" s="4" t="n">
        <v>5</v>
      </c>
      <c r="B6" s="4" t="n">
        <v>2</v>
      </c>
      <c r="C6" s="7">
        <f>SQRT(A6^2-B6^2)</f>
        <v/>
      </c>
      <c r="D6" s="8">
        <f>DEGREES(ACOS(B6/A6))</f>
        <v/>
      </c>
      <c r="E6" s="5">
        <f>IF(AND(D6&gt;=70,D6&lt;=80),"Safe","Adjust")</f>
        <v/>
      </c>
    </row>
    <row r="7">
      <c r="A7" s="4" t="n">
        <v>6</v>
      </c>
      <c r="B7" s="4" t="n">
        <v>2</v>
      </c>
      <c r="C7" s="7">
        <f>SQRT(A7^2-B7^2)</f>
        <v/>
      </c>
      <c r="D7" s="8">
        <f>DEGREES(ACOS(B7/A7))</f>
        <v/>
      </c>
      <c r="E7" s="5">
        <f>IF(AND(D7&gt;=70,D7&lt;=80),"Safe","Adjust")</f>
        <v/>
      </c>
    </row>
    <row r="8">
      <c r="A8" s="4" t="n">
        <v>6</v>
      </c>
      <c r="B8" s="4" t="n">
        <v>3</v>
      </c>
      <c r="C8" s="7">
        <f>SQRT(A8^2-B8^2)</f>
        <v/>
      </c>
      <c r="D8" s="8">
        <f>DEGREES(ACOS(B8/A8))</f>
        <v/>
      </c>
      <c r="E8" s="5">
        <f>IF(AND(D8&gt;=70,D8&lt;=80),"Safe","Adjust")</f>
        <v/>
      </c>
    </row>
    <row r="9">
      <c r="A9" s="4" t="n">
        <v>8</v>
      </c>
      <c r="B9" s="4" t="n">
        <v>2</v>
      </c>
      <c r="C9" s="7">
        <f>SQRT(A9^2-B9^2)</f>
        <v/>
      </c>
      <c r="D9" s="8">
        <f>DEGREES(ACOS(B9/A9))</f>
        <v/>
      </c>
      <c r="E9" s="5">
        <f>IF(AND(D9&gt;=70,D9&lt;=80),"Safe","Adjust")</f>
        <v/>
      </c>
    </row>
    <row r="10">
      <c r="A10" s="4" t="n">
        <v>8</v>
      </c>
      <c r="B10" s="4" t="n">
        <v>4</v>
      </c>
      <c r="C10" s="7">
        <f>SQRT(A10^2-B10^2)</f>
        <v/>
      </c>
      <c r="D10" s="8">
        <f>DEGREES(ACOS(B10/A10))</f>
        <v/>
      </c>
      <c r="E10" s="5">
        <f>IF(AND(D10&gt;=70,D10&lt;=80),"Safe","Adjust")</f>
        <v/>
      </c>
    </row>
    <row r="11">
      <c r="A11" s="4" t="n">
        <v>10</v>
      </c>
      <c r="B11" s="4" t="n">
        <v>2</v>
      </c>
      <c r="C11" s="7">
        <f>SQRT(A11^2-B11^2)</f>
        <v/>
      </c>
      <c r="D11" s="8">
        <f>DEGREES(ACOS(B11/A11))</f>
        <v/>
      </c>
      <c r="E11" s="5">
        <f>IF(AND(D11&gt;=70,D11&lt;=80),"Safe","Adjust")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3D Box Diagonal</t>
        </is>
      </c>
    </row>
    <row r="2" ht="18" customHeight="1">
      <c r="A2" s="2" t="inlineStr">
        <is>
          <t>d = √(l² + w² + h²)</t>
        </is>
      </c>
    </row>
    <row r="3" ht="32" customHeight="1">
      <c r="A3" s="3" t="inlineStr">
        <is>
          <t>length</t>
        </is>
      </c>
      <c r="B3" s="3" t="inlineStr">
        <is>
          <t>width</t>
        </is>
      </c>
      <c r="C3" s="3" t="inlineStr">
        <is>
          <t>height</t>
        </is>
      </c>
      <c r="D3" s="3" t="inlineStr">
        <is>
          <t>face diag</t>
        </is>
      </c>
      <c r="E3" s="3" t="inlineStr">
        <is>
          <t>3D diag</t>
        </is>
      </c>
    </row>
    <row r="4">
      <c r="A4" s="4" t="n">
        <v>3</v>
      </c>
      <c r="B4" s="4" t="n">
        <v>4</v>
      </c>
      <c r="C4" s="4" t="n">
        <v>12</v>
      </c>
      <c r="D4" s="7">
        <f>SQRT(A4^2+B4^2)</f>
        <v/>
      </c>
      <c r="E4" s="7">
        <f>SQRT(A4^2+B4^2+C4^2)</f>
        <v/>
      </c>
    </row>
    <row r="5">
      <c r="A5" s="4" t="n">
        <v>6</v>
      </c>
      <c r="B5" s="4" t="n">
        <v>8</v>
      </c>
      <c r="C5" s="4" t="n">
        <v>10</v>
      </c>
      <c r="D5" s="7">
        <f>SQRT(A5^2+B5^2)</f>
        <v/>
      </c>
      <c r="E5" s="7">
        <f>SQRT(A5^2+B5^2+C5^2)</f>
        <v/>
      </c>
    </row>
    <row r="6">
      <c r="A6" s="4" t="n">
        <v>10</v>
      </c>
      <c r="B6" s="4" t="n">
        <v>10</v>
      </c>
      <c r="C6" s="4" t="n">
        <v>10</v>
      </c>
      <c r="D6" s="7">
        <f>SQRT(A6^2+B6^2)</f>
        <v/>
      </c>
      <c r="E6" s="7">
        <f>SQRT(A6^2+B6^2+C6^2)</f>
        <v/>
      </c>
    </row>
    <row r="7">
      <c r="A7" s="4" t="n">
        <v>5</v>
      </c>
      <c r="B7" s="4" t="n">
        <v>12</v>
      </c>
      <c r="C7" s="4" t="n">
        <v>13</v>
      </c>
      <c r="D7" s="7">
        <f>SQRT(A7^2+B7^2)</f>
        <v/>
      </c>
      <c r="E7" s="7">
        <f>SQRT(A7^2+B7^2+C7^2)</f>
        <v/>
      </c>
    </row>
    <row r="8">
      <c r="A8" s="4" t="n">
        <v>2</v>
      </c>
      <c r="B8" s="4" t="n">
        <v>3</v>
      </c>
      <c r="C8" s="4" t="n">
        <v>6</v>
      </c>
      <c r="D8" s="7">
        <f>SQRT(A8^2+B8^2)</f>
        <v/>
      </c>
      <c r="E8" s="7">
        <f>SQRT(A8^2+B8^2+C8^2)</f>
        <v/>
      </c>
    </row>
    <row r="9">
      <c r="A9" s="4" t="n">
        <v>8</v>
      </c>
      <c r="B9" s="4" t="n">
        <v>6</v>
      </c>
      <c r="C9" s="4" t="n">
        <v>5</v>
      </c>
      <c r="D9" s="7">
        <f>SQRT(A9^2+B9^2)</f>
        <v/>
      </c>
      <c r="E9" s="7">
        <f>SQRT(A9^2+B9^2+C9^2)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2026-04-21T19:29:37Z</dcterms:created>
  <dcterms:modified xmlns:dcterms="http://purl.org/dc/terms/" xmlns:xsi="http://www.w3.org/2001/XMLSchema-instance" xsi:type="dcterms:W3CDTF">2026-04-21T19:29:37Z</dcterms:modified>
</cp:coreProperties>
</file>