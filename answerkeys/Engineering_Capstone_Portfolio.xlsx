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Numbers" sheetId="1" state="visible" r:id="rId1"/>
    <sheet xmlns:r="http://schemas.openxmlformats.org/officeDocument/2006/relationships" name="S2 Exponents" sheetId="2" state="visible" r:id="rId2"/>
    <sheet xmlns:r="http://schemas.openxmlformats.org/officeDocument/2006/relationships" name="S3 Linear" sheetId="3" state="visible" r:id="rId3"/>
    <sheet xmlns:r="http://schemas.openxmlformats.org/officeDocument/2006/relationships" name="S4 Systems" sheetId="4" state="visible" r:id="rId4"/>
    <sheet xmlns:r="http://schemas.openxmlformats.org/officeDocument/2006/relationships" name="S5 Functions" sheetId="5" state="visible" r:id="rId5"/>
    <sheet xmlns:r="http://schemas.openxmlformats.org/officeDocument/2006/relationships" name="S6 Geometry" sheetId="6" state="visible" r:id="rId6"/>
    <sheet xmlns:r="http://schemas.openxmlformats.org/officeDocument/2006/relationships" name="S7 Volume" sheetId="7" state="visible" r:id="rId7"/>
    <sheet xmlns:r="http://schemas.openxmlformats.org/officeDocument/2006/relationships" name="S8 Data" sheetId="8" state="visible" r:id="rId8"/>
    <sheet xmlns:r="http://schemas.openxmlformats.org/officeDocument/2006/relationships" name="S9 Brie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1" fontId="4" fillId="0" borderId="0" pivotButton="0" quotePrefix="0" xfId="0"/>
    <xf numFmtId="4" fontId="5" fillId="0" borderId="0" pivotButton="0" quotePrefix="0" xfId="0"/>
    <xf numFmtId="2" fontId="5" fillId="0" borderId="0" pivotButton="0" quotePrefix="0" xfId="0"/>
    <xf numFmtId="165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1 — Precision Numbers</t>
        </is>
      </c>
    </row>
    <row r="2" ht="18" customHeight="1">
      <c r="A2" s="2" t="inlineStr">
        <is>
          <t>Rational vs. irrational</t>
        </is>
      </c>
    </row>
    <row r="3" ht="32" customHeight="1">
      <c r="A3" s="3" t="inlineStr">
        <is>
          <t>Value</t>
        </is>
      </c>
      <c r="B3" s="3" t="inlineStr">
        <is>
          <t>Decimal</t>
        </is>
      </c>
      <c r="C3" s="3" t="inlineStr">
        <is>
          <t>Type</t>
        </is>
      </c>
    </row>
    <row r="4">
      <c r="A4" s="4" t="n">
        <v>2</v>
      </c>
      <c r="B4" s="5">
        <f>A4</f>
        <v/>
      </c>
      <c r="C4" s="4" t="inlineStr">
        <is>
          <t>Rational</t>
        </is>
      </c>
    </row>
    <row r="5">
      <c r="A5" s="6">
        <f>PI()</f>
        <v/>
      </c>
      <c r="B5" s="5">
        <f>A5</f>
        <v/>
      </c>
      <c r="C5" s="4" t="inlineStr">
        <is>
          <t>Irrational</t>
        </is>
      </c>
    </row>
    <row r="6">
      <c r="A6" s="6">
        <f>SQRT(2)</f>
        <v/>
      </c>
      <c r="B6" s="5">
        <f>A6</f>
        <v/>
      </c>
      <c r="C6" s="4" t="inlineStr">
        <is>
          <t>Irrational</t>
        </is>
      </c>
    </row>
    <row r="7">
      <c r="A7" s="4" t="n">
        <v>0.5</v>
      </c>
      <c r="B7" s="5">
        <f>A7</f>
        <v/>
      </c>
      <c r="C7" s="4" t="inlineStr">
        <is>
          <t>Rational</t>
        </is>
      </c>
    </row>
    <row r="8">
      <c r="A8" s="6">
        <f>SQRT(9)</f>
        <v/>
      </c>
      <c r="B8" s="5">
        <f>A8</f>
        <v/>
      </c>
      <c r="C8" s="4" t="inlineStr">
        <is>
          <t>Rational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2 — Scientific Notation</t>
        </is>
      </c>
    </row>
    <row r="2" ht="18" customHeight="1">
      <c r="A2" s="2" t="inlineStr">
        <is>
          <t>Large and small</t>
        </is>
      </c>
    </row>
    <row r="3" ht="32" customHeight="1">
      <c r="A3" s="3" t="inlineStr">
        <is>
          <t>Quantity</t>
        </is>
      </c>
      <c r="B3" s="3" t="inlineStr">
        <is>
          <t>Sci Notation</t>
        </is>
      </c>
      <c r="C3" s="3" t="inlineStr">
        <is>
          <t>Decimal</t>
        </is>
      </c>
    </row>
    <row r="4">
      <c r="A4" s="4" t="inlineStr">
        <is>
          <t>Sun mass (kg)</t>
        </is>
      </c>
      <c r="B4" s="7" t="n">
        <v>1.989e+30</v>
      </c>
      <c r="C4" s="8">
        <f>B4</f>
        <v/>
      </c>
    </row>
    <row r="5">
      <c r="A5" s="4" t="inlineStr">
        <is>
          <t>Electron mass</t>
        </is>
      </c>
      <c r="B5" s="7" t="n">
        <v>9.11e-31</v>
      </c>
      <c r="C5" s="8">
        <f>B5</f>
        <v/>
      </c>
    </row>
    <row r="6">
      <c r="A6" s="4" t="inlineStr">
        <is>
          <t>Speed of light</t>
        </is>
      </c>
      <c r="B6" s="7" t="n">
        <v>300000000</v>
      </c>
      <c r="C6" s="8">
        <f>B6</f>
        <v/>
      </c>
    </row>
    <row r="7">
      <c r="A7" s="4" t="inlineStr">
        <is>
          <t>Earth-Sun (m)</t>
        </is>
      </c>
      <c r="B7" s="7" t="n">
        <v>149600000000</v>
      </c>
      <c r="C7" s="8">
        <f>B7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3 — Linear Equations (Ohm)</t>
        </is>
      </c>
    </row>
    <row r="2" ht="18" customHeight="1">
      <c r="A2" s="2" t="inlineStr">
        <is>
          <t>V = IR</t>
        </is>
      </c>
    </row>
    <row r="3" ht="32" customHeight="1">
      <c r="A3" s="3" t="inlineStr">
        <is>
          <t>V (V)</t>
        </is>
      </c>
      <c r="B3" s="3" t="inlineStr">
        <is>
          <t>R (Ω)</t>
        </is>
      </c>
      <c r="C3" s="3" t="inlineStr">
        <is>
          <t>I = V/R</t>
        </is>
      </c>
      <c r="D3" s="3" t="inlineStr">
        <is>
          <t>P = VI</t>
        </is>
      </c>
    </row>
    <row r="4">
      <c r="A4" s="4" t="n">
        <v>12</v>
      </c>
      <c r="B4" s="4" t="n">
        <v>4</v>
      </c>
      <c r="C4" s="9">
        <f>A4/B4</f>
        <v/>
      </c>
      <c r="D4" s="9">
        <f>A4*C4</f>
        <v/>
      </c>
    </row>
    <row r="5">
      <c r="A5" s="4" t="n">
        <v>9</v>
      </c>
      <c r="B5" s="4" t="n">
        <v>3</v>
      </c>
      <c r="C5" s="9">
        <f>A5/B5</f>
        <v/>
      </c>
      <c r="D5" s="9">
        <f>A5*C5</f>
        <v/>
      </c>
    </row>
    <row r="6">
      <c r="A6" s="4" t="n">
        <v>120</v>
      </c>
      <c r="B6" s="4" t="n">
        <v>60</v>
      </c>
      <c r="C6" s="9">
        <f>A6/B6</f>
        <v/>
      </c>
      <c r="D6" s="9">
        <f>A6*C6</f>
        <v/>
      </c>
    </row>
    <row r="7">
      <c r="A7" s="4" t="n">
        <v>5</v>
      </c>
      <c r="B7" s="4" t="n">
        <v>10</v>
      </c>
      <c r="C7" s="9">
        <f>A7/B7</f>
        <v/>
      </c>
      <c r="D7" s="9">
        <f>A7*C7</f>
        <v/>
      </c>
    </row>
    <row r="8">
      <c r="A8" s="4" t="n">
        <v>24</v>
      </c>
      <c r="B8" s="4" t="n">
        <v>8</v>
      </c>
      <c r="C8" s="9">
        <f>A8/B8</f>
        <v/>
      </c>
      <c r="D8" s="9">
        <f>A8*C8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4 — Systems (Force Balance)</t>
        </is>
      </c>
    </row>
    <row r="2" ht="18" customHeight="1">
      <c r="A2" s="2" t="inlineStr">
        <is>
          <t>Two supports</t>
        </is>
      </c>
    </row>
    <row r="3" ht="32" customHeight="1">
      <c r="A3" s="3" t="inlineStr">
        <is>
          <t>Load (N)</t>
        </is>
      </c>
      <c r="B3" s="3" t="inlineStr">
        <is>
          <t>Support 1</t>
        </is>
      </c>
      <c r="C3" s="3" t="inlineStr">
        <is>
          <t>Support 2</t>
        </is>
      </c>
    </row>
    <row r="4">
      <c r="A4" s="4" t="n">
        <v>1000</v>
      </c>
      <c r="B4" s="6">
        <f>A4*0.6</f>
        <v/>
      </c>
      <c r="C4" s="6">
        <f>A4*0.4</f>
        <v/>
      </c>
    </row>
    <row r="5">
      <c r="A5" s="4" t="n">
        <v>2000</v>
      </c>
      <c r="B5" s="6">
        <f>A5*0.6</f>
        <v/>
      </c>
      <c r="C5" s="6">
        <f>A5*0.4</f>
        <v/>
      </c>
    </row>
    <row r="6">
      <c r="A6" s="4" t="n">
        <v>3000</v>
      </c>
      <c r="B6" s="6">
        <f>A6*0.6</f>
        <v/>
      </c>
      <c r="C6" s="6">
        <f>A6*0.4</f>
        <v/>
      </c>
    </row>
    <row r="7">
      <c r="A7" s="4" t="n">
        <v>5000</v>
      </c>
      <c r="B7" s="6">
        <f>A7*0.6</f>
        <v/>
      </c>
      <c r="C7" s="6">
        <f>A7*0.4</f>
        <v/>
      </c>
    </row>
    <row r="8">
      <c r="A8" s="4" t="n">
        <v>8000</v>
      </c>
      <c r="B8" s="6">
        <f>A8*0.6</f>
        <v/>
      </c>
      <c r="C8" s="6">
        <f>A8*0.4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5 — Linear Functions (Spring)</t>
        </is>
      </c>
    </row>
    <row r="2" ht="18" customHeight="1">
      <c r="A2" s="2" t="inlineStr">
        <is>
          <t>F = kx (k = 20)</t>
        </is>
      </c>
    </row>
    <row r="3" ht="32" customHeight="1">
      <c r="A3" s="3" t="inlineStr">
        <is>
          <t>x (cm)</t>
        </is>
      </c>
      <c r="B3" s="3" t="inlineStr">
        <is>
          <t>F (N)</t>
        </is>
      </c>
      <c r="C3" s="3" t="inlineStr">
        <is>
          <t>Check</t>
        </is>
      </c>
    </row>
    <row r="4">
      <c r="A4" s="4" t="n">
        <v>0</v>
      </c>
      <c r="B4" s="6">
        <f>20*A4</f>
        <v/>
      </c>
      <c r="C4" s="6">
        <f>IF(B4=20*A4,"✓","✗")</f>
        <v/>
      </c>
    </row>
    <row r="5">
      <c r="A5" s="4" t="n">
        <v>2</v>
      </c>
      <c r="B5" s="6">
        <f>20*A5</f>
        <v/>
      </c>
      <c r="C5" s="6">
        <f>IF(B5=20*A5,"✓","✗")</f>
        <v/>
      </c>
    </row>
    <row r="6">
      <c r="A6" s="4" t="n">
        <v>4</v>
      </c>
      <c r="B6" s="6">
        <f>20*A6</f>
        <v/>
      </c>
      <c r="C6" s="6">
        <f>IF(B6=20*A6,"✓","✗")</f>
        <v/>
      </c>
    </row>
    <row r="7">
      <c r="A7" s="4" t="n">
        <v>6</v>
      </c>
      <c r="B7" s="6">
        <f>20*A7</f>
        <v/>
      </c>
      <c r="C7" s="6">
        <f>IF(B7=20*A7,"✓","✗")</f>
        <v/>
      </c>
    </row>
    <row r="8">
      <c r="A8" s="4" t="n">
        <v>8</v>
      </c>
      <c r="B8" s="6">
        <f>20*A8</f>
        <v/>
      </c>
      <c r="C8" s="6">
        <f>IF(B8=20*A8,"✓","✗")</f>
        <v/>
      </c>
    </row>
    <row r="9">
      <c r="A9" s="4" t="n">
        <v>10</v>
      </c>
      <c r="B9" s="6">
        <f>20*A9</f>
        <v/>
      </c>
      <c r="C9" s="6">
        <f>IF(B9=20*A9,"✓","✗")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6 — Pythagorean</t>
        </is>
      </c>
    </row>
    <row r="2" ht="18" customHeight="1">
      <c r="A2" s="2" t="inlineStr">
        <is>
          <t>c = √(a²+b²)</t>
        </is>
      </c>
    </row>
    <row r="3" ht="32" customHeight="1">
      <c r="A3" s="3" t="inlineStr">
        <is>
          <t>a</t>
        </is>
      </c>
      <c r="B3" s="3" t="inlineStr">
        <is>
          <t>b</t>
        </is>
      </c>
      <c r="C3" s="3" t="inlineStr">
        <is>
          <t>c</t>
        </is>
      </c>
    </row>
    <row r="4">
      <c r="A4" s="4" t="n">
        <v>3</v>
      </c>
      <c r="B4" s="4" t="n">
        <v>4</v>
      </c>
      <c r="C4" s="6">
        <f>SQRT(A4^2+B4^2)</f>
        <v/>
      </c>
    </row>
    <row r="5">
      <c r="A5" s="4" t="n">
        <v>5</v>
      </c>
      <c r="B5" s="4" t="n">
        <v>12</v>
      </c>
      <c r="C5" s="6">
        <f>SQRT(A5^2+B5^2)</f>
        <v/>
      </c>
    </row>
    <row r="6">
      <c r="A6" s="4" t="n">
        <v>8</v>
      </c>
      <c r="B6" s="4" t="n">
        <v>15</v>
      </c>
      <c r="C6" s="6">
        <f>SQRT(A6^2+B6^2)</f>
        <v/>
      </c>
    </row>
    <row r="7">
      <c r="A7" s="4" t="n">
        <v>7</v>
      </c>
      <c r="B7" s="4" t="n">
        <v>24</v>
      </c>
      <c r="C7" s="6">
        <f>SQRT(A7^2+B7^2)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7 — Volume</t>
        </is>
      </c>
    </row>
    <row r="2" ht="18" customHeight="1">
      <c r="A2" s="2" t="inlineStr">
        <is>
          <t>Cube, cylinder, sphere</t>
        </is>
      </c>
    </row>
    <row r="3" ht="32" customHeight="1">
      <c r="A3" s="3" t="inlineStr">
        <is>
          <t>Shape</t>
        </is>
      </c>
      <c r="B3" s="3" t="inlineStr">
        <is>
          <t>Dim 1</t>
        </is>
      </c>
      <c r="C3" s="3" t="inlineStr">
        <is>
          <t>Dim 2</t>
        </is>
      </c>
      <c r="D3" s="3" t="inlineStr">
        <is>
          <t>Volume</t>
        </is>
      </c>
    </row>
    <row r="4">
      <c r="A4" s="4" t="inlineStr">
        <is>
          <t>Cube (s=5)</t>
        </is>
      </c>
      <c r="B4" s="4" t="n">
        <v>5</v>
      </c>
      <c r="D4" s="6">
        <f>B4^3</f>
        <v/>
      </c>
    </row>
    <row r="5">
      <c r="A5" s="4" t="inlineStr">
        <is>
          <t>Cylinder (r=3,h=8)</t>
        </is>
      </c>
      <c r="B5" s="4" t="n">
        <v>3</v>
      </c>
      <c r="C5" s="4" t="n">
        <v>8</v>
      </c>
      <c r="D5" s="9">
        <f>PI()*B5^2*C5</f>
        <v/>
      </c>
    </row>
    <row r="6">
      <c r="A6" s="4" t="inlineStr">
        <is>
          <t>Sphere (r=3)</t>
        </is>
      </c>
      <c r="B6" s="4" t="n">
        <v>3</v>
      </c>
      <c r="D6" s="9">
        <f>(4/3)*PI()*B6^3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Sheet 8 — Two-Way Summary</t>
        </is>
      </c>
    </row>
    <row r="2" ht="18" customHeight="1">
      <c r="A2" s="2" t="inlineStr">
        <is>
          <t>Pass rates</t>
        </is>
      </c>
    </row>
    <row r="3" ht="32" customHeight="1">
      <c r="A3" s="3" t="inlineStr">
        <is>
          <t>Factory</t>
        </is>
      </c>
      <c r="B3" s="3" t="inlineStr">
        <is>
          <t>Pass</t>
        </is>
      </c>
      <c r="C3" s="3" t="inlineStr">
        <is>
          <t>Fail</t>
        </is>
      </c>
      <c r="D3" s="3" t="inlineStr">
        <is>
          <t>Pass %</t>
        </is>
      </c>
    </row>
    <row r="4">
      <c r="A4" s="4" t="inlineStr">
        <is>
          <t>A</t>
        </is>
      </c>
      <c r="B4" s="4" t="n">
        <v>420</v>
      </c>
      <c r="C4" s="4" t="n">
        <v>30</v>
      </c>
      <c r="D4" s="10">
        <f>B4/(B4+C4)</f>
        <v/>
      </c>
    </row>
    <row r="5">
      <c r="A5" s="4" t="inlineStr">
        <is>
          <t>B</t>
        </is>
      </c>
      <c r="B5" s="4" t="n">
        <v>380</v>
      </c>
      <c r="C5" s="4" t="n">
        <v>70</v>
      </c>
      <c r="D5" s="10">
        <f>B5/(B5+C5)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6" customHeight="1">
      <c r="A1" s="1" t="inlineStr">
        <is>
          <t>Sheet 9 — Engineering Brief</t>
        </is>
      </c>
    </row>
    <row r="2" ht="18" customHeight="1">
      <c r="A2" s="2" t="inlineStr">
        <is>
          <t>Synthesize all 8 sheets</t>
        </is>
      </c>
    </row>
    <row r="3" ht="32" customHeight="1">
      <c r="A3" s="3" t="inlineStr">
        <is>
          <t>Topic</t>
        </is>
      </c>
      <c r="B3" s="3" t="inlineStr">
        <is>
          <t>Key Finding</t>
        </is>
      </c>
    </row>
    <row r="4">
      <c r="A4" s="4" t="inlineStr">
        <is>
          <t>Precision numbers</t>
        </is>
      </c>
      <c r="B4" s="11" t="inlineStr">
        <is>
          <t>Rational for manufactured parts; irrational for geometric constants.</t>
        </is>
      </c>
    </row>
    <row r="5">
      <c r="A5" s="4" t="inlineStr">
        <is>
          <t>Scientific notation</t>
        </is>
      </c>
      <c r="B5" s="11" t="inlineStr">
        <is>
          <t>Essential for scales from 10^-31 (electron) to 10^30 (sun).</t>
        </is>
      </c>
    </row>
    <row r="6">
      <c r="A6" s="4" t="inlineStr">
        <is>
          <t>Ohms law</t>
        </is>
      </c>
      <c r="B6" s="11" t="inlineStr">
        <is>
          <t>Current = Voltage / Resistance; Power = V × I.</t>
        </is>
      </c>
    </row>
    <row r="7">
      <c r="A7" s="4" t="inlineStr">
        <is>
          <t>Force balance</t>
        </is>
      </c>
      <c r="B7" s="11" t="inlineStr">
        <is>
          <t>Sum of forces at each support must equal total load.</t>
        </is>
      </c>
    </row>
    <row r="8">
      <c r="A8" s="4" t="inlineStr">
        <is>
          <t>Spring function</t>
        </is>
      </c>
      <c r="B8" s="11" t="inlineStr">
        <is>
          <t>Linear: F = 20x (N) — stiffness 20 N/cm.</t>
        </is>
      </c>
    </row>
    <row r="9">
      <c r="A9" s="4" t="inlineStr">
        <is>
          <t>Pythagorean</t>
        </is>
      </c>
      <c r="B9" s="11" t="inlineStr">
        <is>
          <t>Key for diagonals, ladders, trusses, bridges.</t>
        </is>
      </c>
    </row>
    <row r="10">
      <c r="A10" s="4" t="inlineStr">
        <is>
          <t>Volume</t>
        </is>
      </c>
      <c r="B10" s="11" t="inlineStr">
        <is>
          <t>Cylinder most material-efficient for storage tanks.</t>
        </is>
      </c>
    </row>
    <row r="11">
      <c r="A11" s="4" t="inlineStr">
        <is>
          <t>Two-way data</t>
        </is>
      </c>
      <c r="B11" s="11" t="inlineStr">
        <is>
          <t>Factory A has 93.3% pass rate — recommended.</t>
        </is>
      </c>
    </row>
    <row r="12">
      <c r="A12" s="4" t="inlineStr">
        <is>
          <t>Capstone</t>
        </is>
      </c>
      <c r="B12" s="11" t="inlineStr">
        <is>
          <t>Integrating all 8 skills produces professional engineering analysis.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