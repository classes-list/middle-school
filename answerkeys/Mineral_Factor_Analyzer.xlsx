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neral_Analyz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<sst xmlns="http://schemas.openxmlformats.org/spreadsheetml/2006/main" count="44" uniqueCount="44">
  <si>
    <t xml:space="preserve">Mineral Factor Analyzer — Answer Key</t>
  </si>
  <si>
    <t xml:space="preserve">GCF/LCM of absolute hardness values on the Mohs scale</t>
  </si>
  <si>
    <t xml:space="preserve">Mineral (Mohs order)</t>
  </si>
  <si>
    <t xml:space="preserve">Absolute Hardness</t>
  </si>
  <si>
    <t xml:space="preserve">Prime Factorization</t>
  </si>
  <si>
    <t xml:space="preserve">GCF with next</t>
  </si>
  <si>
    <t xml:space="preserve">LCM with next</t>
  </si>
  <si>
    <t xml:space="preserve">Pair</t>
  </si>
  <si>
    <t xml:space="preserve">Talc</t>
  </si>
  <si>
    <t xml:space="preserve">1 (unit)</t>
  </si>
  <si>
    <t xml:space="preserve">Talc–Gyps</t>
  </si>
  <si>
    <t xml:space="preserve">Gypsum</t>
  </si>
  <si>
    <t xml:space="preserve">3</t>
  </si>
  <si>
    <t xml:space="preserve">Gyps–Calc</t>
  </si>
  <si>
    <t xml:space="preserve">Calcite</t>
  </si>
  <si>
    <t xml:space="preserve">3²</t>
  </si>
  <si>
    <t xml:space="preserve">Calc–Fluo</t>
  </si>
  <si>
    <t xml:space="preserve">Fluorite</t>
  </si>
  <si>
    <t xml:space="preserve">3 × 7</t>
  </si>
  <si>
    <t xml:space="preserve">Fluo–Apat</t>
  </si>
  <si>
    <t xml:space="preserve">Apatite</t>
  </si>
  <si>
    <t xml:space="preserve">2⁴ × 3</t>
  </si>
  <si>
    <t xml:space="preserve">Apat–Orth</t>
  </si>
  <si>
    <t xml:space="preserve">Orthoclase</t>
  </si>
  <si>
    <t xml:space="preserve">2³ × 3²</t>
  </si>
  <si>
    <t xml:space="preserve">Orth–Quar</t>
  </si>
  <si>
    <t xml:space="preserve">Quartz</t>
  </si>
  <si>
    <t xml:space="preserve">2² × 5²</t>
  </si>
  <si>
    <t xml:space="preserve">Quar–Topa</t>
  </si>
  <si>
    <t xml:space="preserve">Topaz</t>
  </si>
  <si>
    <t xml:space="preserve">2³ × 5²</t>
  </si>
  <si>
    <t xml:space="preserve">Topa–Coru</t>
  </si>
  <si>
    <t xml:space="preserve">Corundum</t>
  </si>
  <si>
    <t xml:space="preserve">2⁴ × 5²</t>
  </si>
  <si>
    <t xml:space="preserve">Coru–Diam</t>
  </si>
  <si>
    <t xml:space="preserve">Diamond</t>
  </si>
  <si>
    <t xml:space="preserve">2² × 3 × 5³</t>
  </si>
  <si>
    <t xml:space="preserve">Average</t>
  </si>
  <si>
    <t xml:space="preserve">Answer Key Notes</t>
  </si>
  <si>
    <t xml:space="preserve">• Highest GCF: Corundum–Diamond (400 &amp; 1500) GCF = 100.</t>
  </si>
  <si>
    <t xml:space="preserve">• GCF = 1: Talc–Gypsum (1, 3) → no shared factor &gt; 1.</t>
  </si>
  <si>
    <t xml:space="preserve">• When GCF equals one of the values, that value divides the other evenly — a multiple relationship.</t>
  </si>
  <si>
    <t xml:space="preserve">• Average GCF ≈ (1+3+3+3+24+4+100+200+100)/9 = 48.67.</t>
  </si>
  <si>
    <t xml:space="preserve">• Average LCM spikes near Corundum–Diamond because 400 and 1500 share only 100.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</si>
</sst>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888888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B3A8A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B3A8A"/>
        <bgColor rgb="FF003366"/>
      </patternFill>
    </fill>
    <fill>
      <patternFill patternType="solid">
        <fgColor rgb="FFE8EEF9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E8EE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888888"/>
      <rgbColor rgb="FF003366"/>
      <rgbColor rgb="FF339966"/>
      <rgbColor rgb="FF003300"/>
      <rgbColor rgb="FF333300"/>
      <rgbColor rgb="FF993300"/>
      <rgbColor rgb="FF993366"/>
      <rgbColor rgb="FF1B3A8A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Mineral GCF Comparison (consecutive pairs)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Mineral_Analyzer!D3</c:f>
              <c:strCache>
                <c:ptCount val="1"/>
                <c:pt idx="0">
                  <c:v>GCF with next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Mineral_Analyzer!$G$4:$G$12</c:f>
              <c:strCache>
                <c:ptCount val="9"/>
                <c:pt idx="0">
                  <c:v>Talc–Gyps</c:v>
                </c:pt>
                <c:pt idx="1">
                  <c:v>Gyps–Calc</c:v>
                </c:pt>
                <c:pt idx="2">
                  <c:v>Calc–Fluo</c:v>
                </c:pt>
                <c:pt idx="3">
                  <c:v>Fluo–Apat</c:v>
                </c:pt>
                <c:pt idx="4">
                  <c:v>Apat–Orth</c:v>
                </c:pt>
                <c:pt idx="5">
                  <c:v>Orth–Quar</c:v>
                </c:pt>
                <c:pt idx="6">
                  <c:v>Quar–Topa</c:v>
                </c:pt>
                <c:pt idx="7">
                  <c:v>Topa–Coru</c:v>
                </c:pt>
                <c:pt idx="8">
                  <c:v>Coru–Diam</c:v>
                </c:pt>
              </c:strCache>
            </c:strRef>
          </c:cat>
          <c:val>
            <c:numRef>
              <c:f>Mineral_Analyzer!$D$4:$D$12</c:f>
              <c:numCache>
                <c:formatCode>General</c:formatCode>
                <c:ptCount val="9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24</c:v>
                </c:pt>
                <c:pt idx="5">
                  <c:v>4</c:v>
                </c:pt>
                <c:pt idx="6">
                  <c:v>100</c:v>
                </c:pt>
                <c:pt idx="7">
                  <c:v>200</c:v>
                </c:pt>
                <c:pt idx="8">
                  <c:v>100</c:v>
                </c:pt>
              </c:numCache>
            </c:numRef>
          </c:val>
        </c:ser>
        <c:gapWidth val="150"/>
        <c:overlap val="0"/>
        <c:axId val="77036378"/>
        <c:axId val="24092458"/>
      </c:barChart>
      <c:catAx>
        <c:axId val="770363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Mineral Pair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4092458"/>
        <c:crosses val="autoZero"/>
        <c:auto val="1"/>
        <c:lblAlgn val="ctr"/>
        <c:lblOffset val="100"/>
        <c:noMultiLvlLbl val="0"/>
      </c:catAx>
      <c:valAx>
        <c:axId val="240924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GCF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703637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0</xdr:rowOff>
    </xdr:from>
    <xdr:to>
      <xdr:col>18</xdr:col>
      <xdr:colOff>363960</xdr:colOff>
      <xdr:row>15</xdr:row>
      <xdr:rowOff>552960</xdr:rowOff>
    </xdr:to>
    <xdr:graphicFrame>
      <xdr:nvGraphicFramePr>
        <xdr:cNvPr id="1" name="Chart 1"/>
        <xdr:cNvGraphicFramePr/>
      </xdr:nvGraphicFramePr>
      <xdr:xfrm>
        <a:off x="9117360" y="552600"/>
        <a:ext cx="64789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5" min="4" style="1" width="16"/>
    <col collapsed="false" customWidth="true" hidden="false" outlineLevel="0" max="7" min="7" style="1" width="16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</row>
    <row r="3" customFormat="false" ht="31.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G3" s="5" t="s">
        <v>7</v>
      </c>
    </row>
    <row r="4" customFormat="false" ht="15" hidden="false" customHeight="false" outlineLevel="0" collapsed="false">
      <c r="A4" s="6" t="s">
        <v>8</v>
      </c>
      <c r="B4" s="6" t="n">
        <v>1</v>
      </c>
      <c r="C4" s="6" t="s">
        <v>9</v>
      </c>
      <c r="D4" s="7" t="n">
        <f aca="false">GCD(B4,B5)</f>
        <v>1</v>
      </c>
      <c r="E4" s="7" t="n">
        <f aca="false">LCM(B4,B5)</f>
        <v>3</v>
      </c>
      <c r="G4" s="8" t="s">
        <v>10</v>
      </c>
    </row>
    <row r="5" customFormat="false" ht="15" hidden="false" customHeight="false" outlineLevel="0" collapsed="false">
      <c r="A5" s="6" t="s">
        <v>11</v>
      </c>
      <c r="B5" s="6" t="n">
        <v>3</v>
      </c>
      <c r="C5" s="6" t="s">
        <v>12</v>
      </c>
      <c r="D5" s="7" t="n">
        <f aca="false">GCD(B5,B6)</f>
        <v>3</v>
      </c>
      <c r="E5" s="7" t="n">
        <f aca="false">LCM(B5,B6)</f>
        <v>9</v>
      </c>
      <c r="G5" s="8" t="s">
        <v>13</v>
      </c>
    </row>
    <row r="6" customFormat="false" ht="15" hidden="false" customHeight="false" outlineLevel="0" collapsed="false">
      <c r="A6" s="6" t="s">
        <v>14</v>
      </c>
      <c r="B6" s="6" t="n">
        <v>9</v>
      </c>
      <c r="C6" s="6" t="s">
        <v>15</v>
      </c>
      <c r="D6" s="7" t="n">
        <f aca="false">GCD(B6,B7)</f>
        <v>3</v>
      </c>
      <c r="E6" s="7" t="n">
        <f aca="false">LCM(B6,B7)</f>
        <v>63</v>
      </c>
      <c r="G6" s="8" t="s">
        <v>16</v>
      </c>
    </row>
    <row r="7" customFormat="false" ht="15" hidden="false" customHeight="false" outlineLevel="0" collapsed="false">
      <c r="A7" s="6" t="s">
        <v>17</v>
      </c>
      <c r="B7" s="6" t="n">
        <v>21</v>
      </c>
      <c r="C7" s="6" t="s">
        <v>18</v>
      </c>
      <c r="D7" s="7" t="n">
        <f aca="false">GCD(B7,B8)</f>
        <v>3</v>
      </c>
      <c r="E7" s="7" t="n">
        <f aca="false">LCM(B7,B8)</f>
        <v>336</v>
      </c>
      <c r="G7" s="8" t="s">
        <v>19</v>
      </c>
    </row>
    <row r="8" customFormat="false" ht="15" hidden="false" customHeight="false" outlineLevel="0" collapsed="false">
      <c r="A8" s="6" t="s">
        <v>20</v>
      </c>
      <c r="B8" s="6" t="n">
        <v>48</v>
      </c>
      <c r="C8" s="6" t="s">
        <v>21</v>
      </c>
      <c r="D8" s="7" t="n">
        <f aca="false">GCD(B8,B9)</f>
        <v>24</v>
      </c>
      <c r="E8" s="7" t="n">
        <f aca="false">LCM(B8,B9)</f>
        <v>144</v>
      </c>
      <c r="G8" s="8" t="s">
        <v>22</v>
      </c>
    </row>
    <row r="9" customFormat="false" ht="15" hidden="false" customHeight="false" outlineLevel="0" collapsed="false">
      <c r="A9" s="6" t="s">
        <v>23</v>
      </c>
      <c r="B9" s="6" t="n">
        <v>72</v>
      </c>
      <c r="C9" s="6" t="s">
        <v>24</v>
      </c>
      <c r="D9" s="7" t="n">
        <f aca="false">GCD(B9,B10)</f>
        <v>4</v>
      </c>
      <c r="E9" s="7" t="n">
        <f aca="false">LCM(B9,B10)</f>
        <v>1800</v>
      </c>
      <c r="G9" s="8" t="s">
        <v>25</v>
      </c>
    </row>
    <row r="10" customFormat="false" ht="15" hidden="false" customHeight="false" outlineLevel="0" collapsed="false">
      <c r="A10" s="6" t="s">
        <v>26</v>
      </c>
      <c r="B10" s="6" t="n">
        <v>100</v>
      </c>
      <c r="C10" s="6" t="s">
        <v>27</v>
      </c>
      <c r="D10" s="7" t="n">
        <f aca="false">GCD(B10,B11)</f>
        <v>100</v>
      </c>
      <c r="E10" s="7" t="n">
        <f aca="false">LCM(B10,B11)</f>
        <v>200</v>
      </c>
      <c r="G10" s="8" t="s">
        <v>28</v>
      </c>
    </row>
    <row r="11" customFormat="false" ht="15" hidden="false" customHeight="false" outlineLevel="0" collapsed="false">
      <c r="A11" s="6" t="s">
        <v>29</v>
      </c>
      <c r="B11" s="6" t="n">
        <v>200</v>
      </c>
      <c r="C11" s="6" t="s">
        <v>30</v>
      </c>
      <c r="D11" s="7" t="n">
        <f aca="false">GCD(B11,B12)</f>
        <v>200</v>
      </c>
      <c r="E11" s="7" t="n">
        <f aca="false">LCM(B11,B12)</f>
        <v>400</v>
      </c>
      <c r="G11" s="8" t="s">
        <v>31</v>
      </c>
    </row>
    <row r="12" customFormat="false" ht="15" hidden="false" customHeight="false" outlineLevel="0" collapsed="false">
      <c r="A12" s="6" t="s">
        <v>32</v>
      </c>
      <c r="B12" s="6" t="n">
        <v>400</v>
      </c>
      <c r="C12" s="6" t="s">
        <v>33</v>
      </c>
      <c r="D12" s="7" t="n">
        <f aca="false">GCD(B12,B13)</f>
        <v>100</v>
      </c>
      <c r="E12" s="7" t="n">
        <f aca="false">LCM(B12,B13)</f>
        <v>6000</v>
      </c>
      <c r="G12" s="8" t="s">
        <v>34</v>
      </c>
    </row>
    <row r="13" customFormat="false" ht="15" hidden="false" customHeight="false" outlineLevel="0" collapsed="false">
      <c r="A13" s="6" t="s">
        <v>35</v>
      </c>
      <c r="B13" s="6" t="n">
        <v>1500</v>
      </c>
      <c r="C13" s="6" t="s">
        <v>36</v>
      </c>
      <c r="D13" s="9"/>
      <c r="E13" s="9"/>
    </row>
    <row r="14" customFormat="false" ht="15" hidden="false" customHeight="false" outlineLevel="0" collapsed="false">
      <c r="A14" s="10" t="s">
        <v>37</v>
      </c>
      <c r="B14" s="10"/>
      <c r="C14" s="10"/>
      <c r="D14" s="10" t="n">
        <f aca="false">AVERAGE(D4:D12)</f>
        <v>48.6666666666667</v>
      </c>
      <c r="E14" s="10" t="n">
        <f aca="false">AVERAGE(E4:E12)</f>
        <v>995</v>
      </c>
    </row>
    <row r="15" customFormat="false" ht="15" hidden="false" customHeight="false" outlineLevel="0" collapsed="false">
      <c r="I15" s="11" t="s">
        <v>38</v>
      </c>
    </row>
    <row r="16" customFormat="false" ht="102.2" hidden="false" customHeight="false" outlineLevel="0" collapsed="false">
      <c r="I16" s="12" t="s">
        <v>39</v>
      </c>
    </row>
    <row r="17" customFormat="false" ht="68.65" hidden="false" customHeight="false" outlineLevel="0" collapsed="false">
      <c r="I17" s="12" t="s">
        <v>40</v>
      </c>
    </row>
    <row r="18" customFormat="false" ht="135.8" hidden="false" customHeight="false" outlineLevel="0" collapsed="false">
      <c r="I18" s="12" t="s">
        <v>41</v>
      </c>
    </row>
    <row r="19" customFormat="false" ht="79.85" hidden="false" customHeight="false" outlineLevel="0" collapsed="false">
      <c r="I19" s="12" t="s">
        <v>42</v>
      </c>
    </row>
    <row r="20" customFormat="false" ht="135.8" hidden="false" customHeight="false" outlineLevel="0" collapsed="false">
      <c r="I20" s="12" t="s">
        <v>43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2026-04-21T18:50:44Z</dcterms:created>
  <dc:creator>openpyxl</dc:creator>
  <dc:description/>
  <dc:language>en-US</dc:language>
  <cp:lastModifiedBy/>
  <dcterms:modified xsi:type="dcterms:W3CDTF">2026-04-21T19:02:08Z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