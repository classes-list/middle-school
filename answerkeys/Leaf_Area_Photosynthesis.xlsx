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f 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Adjusted Leaf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'Leaf Area'!E3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'Leaf Area'!$A$4:$A$8</f>
            </numRef>
          </cat>
          <val>
            <numRef>
              <f>'Leaf Area'!$E$4:$E$8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Leaf Area &amp; Photosynthesis Comparator</t>
        </is>
      </c>
    </row>
    <row r="2" ht="18" customHeight="1">
      <c r="A2" s="2" t="inlineStr">
        <is>
          <t>Bounding box × 0.7 correction</t>
        </is>
      </c>
    </row>
    <row r="3" ht="32" customHeight="1">
      <c r="A3" s="3" t="inlineStr">
        <is>
          <t>Plant</t>
        </is>
      </c>
      <c r="B3" s="3" t="inlineStr">
        <is>
          <t>Length (cm)</t>
        </is>
      </c>
      <c r="C3" s="3" t="inlineStr">
        <is>
          <t>Width (cm)</t>
        </is>
      </c>
      <c r="D3" s="3" t="inlineStr">
        <is>
          <t>Bounding Area</t>
        </is>
      </c>
      <c r="E3" s="3" t="inlineStr">
        <is>
          <t>Adjusted Area (×0.7)</t>
        </is>
      </c>
      <c r="F3" s="3" t="inlineStr">
        <is>
          <t>Rel. Photo Rate</t>
        </is>
      </c>
    </row>
    <row r="4">
      <c r="A4" s="4" t="inlineStr">
        <is>
          <t>Plumeria</t>
        </is>
      </c>
      <c r="B4" s="4" t="n">
        <v>20</v>
      </c>
      <c r="C4" s="4" t="n">
        <v>6</v>
      </c>
      <c r="D4" s="5">
        <f>B4*C4</f>
        <v/>
      </c>
      <c r="E4" s="5">
        <f>D4*0.7</f>
        <v/>
      </c>
      <c r="F4" s="6">
        <f>E4*0.15</f>
        <v/>
      </c>
    </row>
    <row r="5">
      <c r="A5" s="4" t="inlineStr">
        <is>
          <t>Taro</t>
        </is>
      </c>
      <c r="B5" s="4" t="n">
        <v>40</v>
      </c>
      <c r="C5" s="4" t="n">
        <v>30</v>
      </c>
      <c r="D5" s="5">
        <f>B5*C5</f>
        <v/>
      </c>
      <c r="E5" s="5">
        <f>D5*0.7</f>
        <v/>
      </c>
      <c r="F5" s="6">
        <f>E5*0.15</f>
        <v/>
      </c>
    </row>
    <row r="6">
      <c r="A6" s="4" t="inlineStr">
        <is>
          <t>Monstera</t>
        </is>
      </c>
      <c r="B6" s="4" t="n">
        <v>60</v>
      </c>
      <c r="C6" s="4" t="n">
        <v>50</v>
      </c>
      <c r="D6" s="5">
        <f>B6*C6</f>
        <v/>
      </c>
      <c r="E6" s="5">
        <f>D6*0.7</f>
        <v/>
      </c>
      <c r="F6" s="6">
        <f>E6*0.15</f>
        <v/>
      </c>
    </row>
    <row r="7">
      <c r="A7" s="4" t="inlineStr">
        <is>
          <t>Fern</t>
        </is>
      </c>
      <c r="B7" s="4" t="n">
        <v>30</v>
      </c>
      <c r="C7" s="4" t="n">
        <v>8</v>
      </c>
      <c r="D7" s="5">
        <f>B7*C7</f>
        <v/>
      </c>
      <c r="E7" s="5">
        <f>D7*0.7</f>
        <v/>
      </c>
      <c r="F7" s="6">
        <f>E7*0.15</f>
        <v/>
      </c>
    </row>
    <row r="8">
      <c r="A8" s="4" t="inlineStr">
        <is>
          <t>Naupaka</t>
        </is>
      </c>
      <c r="B8" s="4" t="n">
        <v>10</v>
      </c>
      <c r="C8" s="4" t="n">
        <v>4</v>
      </c>
      <c r="D8" s="5">
        <f>B8*C8</f>
        <v/>
      </c>
      <c r="E8" s="5">
        <f>D8*0.7</f>
        <v/>
      </c>
      <c r="F8" s="6">
        <f>E8*0.15</f>
        <v/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