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athering_S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<sst xmlns="http://schemas.openxmlformats.org/spreadsheetml/2006/main" count="9" uniqueCount="9">
  <si>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Rock Weathering Surface Area Model — Answer Key</t>
  </si>
  <si>
    <t xml:space="preserve">Start with one 10-cm cube (1,000 cm³). Break into n equal cubes.</t>
  </si>
  <si>
    <t xml:space="preserve">Pieces (n)</t>
  </si>
  <si>
    <t xml:space="preserve">Side of each (cm) =(1000/n)^(1/3)</t>
  </si>
  <si>
    <t xml:space="preserve">SA of one cube =6·s²</t>
  </si>
  <si>
    <t xml:space="preserve">Total SA (cm²) =n·SA1</t>
  </si>
  <si>
    <t xml:space="preserve">Ratio vs 1 cube =Total/Total@n=1</t>
  </si>
  <si>
    <t xml:space="preserve">Breaking one 10 cm cube into 64 pieces: SA increases 4× (from 600 → 2400 cm²). Weathering happens roughly 4× faster.</t>
  </si>
  <si>
    <t xml:space="preserve">Into 1,000 pieces: SA ratio = 1000^(1/3) = 10× (6000 cm²).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</si>
</sst>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0.0\×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B3A8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B3A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Total surface area vs number of pieces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Weathering_SA!D3</c:f>
              <c:strCache>
                <c:ptCount val="1"/>
                <c:pt idx="0">
                  <c:v>Total SA (cm²) =n·SA1</c:v>
                </c:pt>
              </c:strCache>
            </c:strRef>
          </c:tx>
          <c:spPr>
            <a:solidFill>
              <a:srgbClr val="BE4B48"/>
            </a:solidFill>
            <a:ln w="1260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Weathering_SA!$A$3:$A$8</c:f>
              <c:strCache>
                <c:ptCount val="6"/>
                <c:pt idx="0">
                  <c:v>Pieces (n)</c:v>
                </c:pt>
                <c:pt idx="1">
                  <c:v>1</c:v>
                </c:pt>
                <c:pt idx="2">
                  <c:v>8</c:v>
                </c:pt>
                <c:pt idx="3">
                  <c:v>27</c:v>
                </c:pt>
                <c:pt idx="4">
                  <c:v>64</c:v>
                </c:pt>
                <c:pt idx="5">
                  <c:v>125</c:v>
                </c:pt>
              </c:strCache>
            </c:strRef>
          </c:cat>
          <c:val>
            <c:numRef>
              <c:f>Weathering_SA!$D$4:$D$8</c:f>
              <c:numCache>
                <c:formatCode>0</c:formatCode>
                <c:ptCount val="5"/>
                <c:pt idx="0">
                  <c:v>600</c:v>
                </c:pt>
                <c:pt idx="1">
                  <c:v>1200</c:v>
                </c:pt>
                <c:pt idx="2">
                  <c:v>1800</c:v>
                </c:pt>
                <c:pt idx="3">
                  <c:v>2400</c:v>
                </c:pt>
                <c:pt idx="4">
                  <c:v>3000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680683"/>
        <c:axId val="99176899"/>
      </c:lineChart>
      <c:catAx>
        <c:axId val="596806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Pieces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9176899"/>
        <c:crosses val="autoZero"/>
        <c:auto val="1"/>
        <c:lblAlgn val="ctr"/>
        <c:lblOffset val="100"/>
        <c:noMultiLvlLbl val="0"/>
      </c:catAx>
      <c:valAx>
        <c:axId val="99176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SA (cm²)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968068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16</xdr:col>
      <xdr:colOff>363960</xdr:colOff>
      <xdr:row>21</xdr:row>
      <xdr:rowOff>129960</xdr:rowOff>
    </xdr:to>
    <xdr:graphicFrame>
      <xdr:nvGraphicFramePr>
        <xdr:cNvPr id="1" name="Chart 1"/>
        <xdr:cNvGraphicFramePr/>
      </xdr:nvGraphicFramePr>
      <xdr:xfrm>
        <a:off x="8083080" y="552600"/>
        <a:ext cx="6478920" cy="39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2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</row>
    <row r="3" customFormat="false" ht="31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customFormat="false" ht="15" hidden="false" customHeight="false" outlineLevel="0" collapsed="false">
      <c r="A4" s="5" t="n">
        <v>1</v>
      </c>
      <c r="B4" s="6" t="n">
        <f aca="false">(1000/A4)^(1/3)</f>
        <v>10</v>
      </c>
      <c r="C4" s="6" t="n">
        <f aca="false">6*B4^2</f>
        <v>600</v>
      </c>
      <c r="D4" s="7" t="n">
        <f aca="false">A4*C4</f>
        <v>600</v>
      </c>
      <c r="E4" s="8" t="n">
        <f aca="false">D4/D$4</f>
        <v>1</v>
      </c>
    </row>
    <row r="5" customFormat="false" ht="15" hidden="false" customHeight="false" outlineLevel="0" collapsed="false">
      <c r="A5" s="5" t="n">
        <v>8</v>
      </c>
      <c r="B5" s="6" t="n">
        <f aca="false">(1000/A5)^(1/3)</f>
        <v>5</v>
      </c>
      <c r="C5" s="6" t="n">
        <f aca="false">6*B5^2</f>
        <v>150</v>
      </c>
      <c r="D5" s="7" t="n">
        <f aca="false">A5*C5</f>
        <v>1200</v>
      </c>
      <c r="E5" s="8" t="n">
        <f aca="false">D5/D$4</f>
        <v>2</v>
      </c>
    </row>
    <row r="6" customFormat="false" ht="15" hidden="false" customHeight="false" outlineLevel="0" collapsed="false">
      <c r="A6" s="5" t="n">
        <v>27</v>
      </c>
      <c r="B6" s="6" t="n">
        <f aca="false">(1000/A6)^(1/3)</f>
        <v>3.33333333333333</v>
      </c>
      <c r="C6" s="6" t="n">
        <f aca="false">6*B6^2</f>
        <v>66.6666666666667</v>
      </c>
      <c r="D6" s="7" t="n">
        <f aca="false">A6*C6</f>
        <v>1800</v>
      </c>
      <c r="E6" s="8" t="n">
        <f aca="false">D6/D$4</f>
        <v>3</v>
      </c>
    </row>
    <row r="7" customFormat="false" ht="15" hidden="false" customHeight="false" outlineLevel="0" collapsed="false">
      <c r="A7" s="5" t="n">
        <v>64</v>
      </c>
      <c r="B7" s="6" t="n">
        <f aca="false">(1000/A7)^(1/3)</f>
        <v>2.5</v>
      </c>
      <c r="C7" s="6" t="n">
        <f aca="false">6*B7^2</f>
        <v>37.5</v>
      </c>
      <c r="D7" s="7" t="n">
        <f aca="false">A7*C7</f>
        <v>2400</v>
      </c>
      <c r="E7" s="8" t="n">
        <f aca="false">D7/D$4</f>
        <v>4</v>
      </c>
    </row>
    <row r="8" customFormat="false" ht="15" hidden="false" customHeight="false" outlineLevel="0" collapsed="false">
      <c r="A8" s="5" t="n">
        <v>125</v>
      </c>
      <c r="B8" s="6" t="n">
        <f aca="false">(1000/A8)^(1/3)</f>
        <v>2</v>
      </c>
      <c r="C8" s="6" t="n">
        <f aca="false">6*B8^2</f>
        <v>24</v>
      </c>
      <c r="D8" s="7" t="n">
        <f aca="false">A8*C8</f>
        <v>3000</v>
      </c>
      <c r="E8" s="8" t="n">
        <f aca="false">D8/D$4</f>
        <v>5</v>
      </c>
    </row>
    <row r="22" customFormat="false" ht="15" hidden="false" customHeight="false" outlineLevel="0" collapsed="false">
      <c r="G22" s="9" t="s">
        <v>7</v>
      </c>
    </row>
    <row r="23" customFormat="false" ht="15" hidden="false" customHeight="false" outlineLevel="0" collapsed="false">
      <c r="G23" s="9" t="s">
        <v>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2026-04-21T18:54:19Z</dcterms:created>
  <dc:creator>openpyxl</dc:creator>
  <dc:description/>
  <dc:language>en-US</dc:language>
  <cp:lastModifiedBy/>
  <dcterms:modified xsi:type="dcterms:W3CDTF">2026-04-21T19:02:10Z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