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s" sheetId="1" state="visible" r:id="rId1"/>
    <sheet xmlns:r="http://schemas.openxmlformats.org/officeDocument/2006/relationships" name="Cost Analysis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2" fontId="5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 by Design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'Charts'!$A$4:$A$8</f>
            </numRef>
          </cat>
          <val>
            <numRef>
              <f>'Charts'!$B$4:$B$8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by Design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'Charts'!$A$4:$A$8</f>
            </numRef>
          </cat>
          <val>
            <numRef>
              <f>'Charts'!$C$4:$C$8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V/$ Efficiency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'Charts'!$A$4:$A$8</f>
            </numRef>
          </cat>
          <val>
            <numRef>
              <f>'Charts'!$D$4:$D$8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36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</cols>
  <sheetData>
    <row r="1" ht="26" customHeight="1">
      <c r="A1" s="1" t="inlineStr">
        <is>
          <t>Tank Design Comparison — 5 Shapes</t>
        </is>
      </c>
    </row>
    <row r="2" ht="18" customHeight="1">
      <c r="A2" s="2" t="inlineStr">
        <is>
          <t>Volume, SA, cost, efficiency</t>
        </is>
      </c>
    </row>
    <row r="3" ht="32" customHeight="1">
      <c r="A3" s="3" t="inlineStr">
        <is>
          <t>Design</t>
        </is>
      </c>
      <c r="B3" s="3" t="inlineStr">
        <is>
          <t>Shape</t>
        </is>
      </c>
      <c r="C3" s="3" t="inlineStr">
        <is>
          <t>Dim 1</t>
        </is>
      </c>
      <c r="D3" s="3" t="inlineStr">
        <is>
          <t>Dim 2</t>
        </is>
      </c>
      <c r="E3" s="3" t="inlineStr">
        <is>
          <t>Dim 3</t>
        </is>
      </c>
      <c r="F3" s="3" t="inlineStr">
        <is>
          <t>Volume (m³)</t>
        </is>
      </c>
      <c r="G3" s="3" t="inlineStr">
        <is>
          <t>SA (m²)</t>
        </is>
      </c>
    </row>
    <row r="4">
      <c r="A4" s="4" t="inlineStr">
        <is>
          <t>Cube</t>
        </is>
      </c>
      <c r="B4" s="4" t="inlineStr">
        <is>
          <t>Cube</t>
        </is>
      </c>
      <c r="C4" s="4" t="n">
        <v>5</v>
      </c>
      <c r="F4" s="5">
        <f>C4^3</f>
        <v/>
      </c>
      <c r="G4" s="5">
        <f>6*C4^2</f>
        <v/>
      </c>
    </row>
    <row r="5">
      <c r="A5" s="4" t="inlineStr">
        <is>
          <t>Cylinder</t>
        </is>
      </c>
      <c r="B5" s="4" t="inlineStr">
        <is>
          <t>Cylinder</t>
        </is>
      </c>
      <c r="C5" s="4" t="n">
        <v>3</v>
      </c>
      <c r="D5" s="4" t="n">
        <v>8</v>
      </c>
      <c r="F5" s="5">
        <f>PI()*C5^2*D5</f>
        <v/>
      </c>
      <c r="G5" s="5">
        <f>2*PI()*C5*(C5+D5)</f>
        <v/>
      </c>
    </row>
    <row r="6">
      <c r="A6" s="4" t="inlineStr">
        <is>
          <t>Cone</t>
        </is>
      </c>
      <c r="B6" s="4" t="inlineStr">
        <is>
          <t>Cone</t>
        </is>
      </c>
      <c r="C6" s="4" t="n">
        <v>3</v>
      </c>
      <c r="D6" s="4" t="n">
        <v>8</v>
      </c>
      <c r="F6" s="5">
        <f>(1/3)*PI()*C6^2*D6</f>
        <v/>
      </c>
      <c r="G6" s="5">
        <f>PI()*C6*(C6+SQRT(C6^2+D6^2))</f>
        <v/>
      </c>
    </row>
    <row r="7">
      <c r="A7" s="4" t="inlineStr">
        <is>
          <t>Sphere</t>
        </is>
      </c>
      <c r="B7" s="4" t="inlineStr">
        <is>
          <t>Sphere</t>
        </is>
      </c>
      <c r="C7" s="4" t="n">
        <v>3</v>
      </c>
      <c r="F7" s="5">
        <f>(4/3)*PI()*C7^3</f>
        <v/>
      </c>
      <c r="G7" s="5">
        <f>4*PI()*C7^2</f>
        <v/>
      </c>
    </row>
    <row r="8">
      <c r="A8" s="4" t="inlineStr">
        <is>
          <t>Rect Prism</t>
        </is>
      </c>
      <c r="B8" s="4" t="inlineStr">
        <is>
          <t>Rect</t>
        </is>
      </c>
      <c r="C8" s="4" t="n">
        <v>4</v>
      </c>
      <c r="D8" s="4" t="n">
        <v>5</v>
      </c>
      <c r="E8" s="4" t="n">
        <v>6</v>
      </c>
      <c r="F8" s="5">
        <f>C8*D8*E8</f>
        <v/>
      </c>
      <c r="G8" s="5">
        <f>2*(C8*D8+C8*E8+D8*E8)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Material Cost &amp; Efficiency</t>
        </is>
      </c>
    </row>
    <row r="2" ht="18" customHeight="1">
      <c r="A2" s="2" t="inlineStr">
        <is>
          <t>$50/m² surface area</t>
        </is>
      </c>
    </row>
    <row r="3" ht="32" customHeight="1">
      <c r="A3" s="3" t="inlineStr">
        <is>
          <t>Design</t>
        </is>
      </c>
      <c r="B3" s="3" t="inlineStr">
        <is>
          <t>Volume</t>
        </is>
      </c>
      <c r="C3" s="3" t="inlineStr">
        <is>
          <t>SA</t>
        </is>
      </c>
      <c r="D3" s="3" t="inlineStr">
        <is>
          <t>Cost ($)</t>
        </is>
      </c>
      <c r="E3" s="3" t="inlineStr">
        <is>
          <t>V / $</t>
        </is>
      </c>
    </row>
    <row r="4">
      <c r="A4" s="6">
        <f>Designs!A4</f>
        <v/>
      </c>
      <c r="B4" s="5">
        <f>Designs!F4</f>
        <v/>
      </c>
      <c r="C4" s="5">
        <f>Designs!G4</f>
        <v/>
      </c>
      <c r="D4" s="7">
        <f>C4*50</f>
        <v/>
      </c>
      <c r="E4" s="8">
        <f>B4/D4</f>
        <v/>
      </c>
    </row>
    <row r="5">
      <c r="A5" s="6">
        <f>Designs!A5</f>
        <v/>
      </c>
      <c r="B5" s="5">
        <f>Designs!F5</f>
        <v/>
      </c>
      <c r="C5" s="5">
        <f>Designs!G5</f>
        <v/>
      </c>
      <c r="D5" s="7">
        <f>C5*50</f>
        <v/>
      </c>
      <c r="E5" s="8">
        <f>B5/D5</f>
        <v/>
      </c>
    </row>
    <row r="6">
      <c r="A6" s="6">
        <f>Designs!A6</f>
        <v/>
      </c>
      <c r="B6" s="5">
        <f>Designs!F6</f>
        <v/>
      </c>
      <c r="C6" s="5">
        <f>Designs!G6</f>
        <v/>
      </c>
      <c r="D6" s="7">
        <f>C6*50</f>
        <v/>
      </c>
      <c r="E6" s="8">
        <f>B6/D6</f>
        <v/>
      </c>
    </row>
    <row r="7">
      <c r="A7" s="6">
        <f>Designs!A7</f>
        <v/>
      </c>
      <c r="B7" s="5">
        <f>Designs!F7</f>
        <v/>
      </c>
      <c r="C7" s="5">
        <f>Designs!G7</f>
        <v/>
      </c>
      <c r="D7" s="7">
        <f>C7*50</f>
        <v/>
      </c>
      <c r="E7" s="8">
        <f>B7/D7</f>
        <v/>
      </c>
    </row>
    <row r="8">
      <c r="A8" s="6">
        <f>Designs!A8</f>
        <v/>
      </c>
      <c r="B8" s="5">
        <f>Designs!F8</f>
        <v/>
      </c>
      <c r="C8" s="5">
        <f>Designs!G8</f>
        <v/>
      </c>
      <c r="D8" s="7">
        <f>C8*50</f>
        <v/>
      </c>
      <c r="E8" s="8">
        <f>B8/D8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Visualization</t>
        </is>
      </c>
    </row>
    <row r="2" ht="18" customHeight="1">
      <c r="A2" s="2" t="inlineStr">
        <is>
          <t>Volume, cost, efficiency</t>
        </is>
      </c>
    </row>
    <row r="3" ht="32" customHeight="1">
      <c r="A3" s="3" t="inlineStr">
        <is>
          <t>Design</t>
        </is>
      </c>
      <c r="B3" s="3" t="inlineStr">
        <is>
          <t>Volume (m³)</t>
        </is>
      </c>
      <c r="C3" s="3" t="inlineStr">
        <is>
          <t>Cost ($)</t>
        </is>
      </c>
      <c r="D3" s="3" t="inlineStr">
        <is>
          <t>Efficiency</t>
        </is>
      </c>
    </row>
    <row r="4">
      <c r="A4" s="6">
        <f>'Cost Analysis'!A4</f>
        <v/>
      </c>
      <c r="B4" s="6">
        <f>'Cost Analysis'!B4</f>
        <v/>
      </c>
      <c r="C4" s="6">
        <f>'Cost Analysis'!D4</f>
        <v/>
      </c>
      <c r="D4" s="6">
        <f>'Cost Analysis'!E4</f>
        <v/>
      </c>
    </row>
    <row r="5">
      <c r="A5" s="6">
        <f>'Cost Analysis'!A5</f>
        <v/>
      </c>
      <c r="B5" s="6">
        <f>'Cost Analysis'!B5</f>
        <v/>
      </c>
      <c r="C5" s="6">
        <f>'Cost Analysis'!D5</f>
        <v/>
      </c>
      <c r="D5" s="6">
        <f>'Cost Analysis'!E5</f>
        <v/>
      </c>
    </row>
    <row r="6">
      <c r="A6" s="6">
        <f>'Cost Analysis'!A6</f>
        <v/>
      </c>
      <c r="B6" s="6">
        <f>'Cost Analysis'!B6</f>
        <v/>
      </c>
      <c r="C6" s="6">
        <f>'Cost Analysis'!D6</f>
        <v/>
      </c>
      <c r="D6" s="6">
        <f>'Cost Analysis'!E6</f>
        <v/>
      </c>
    </row>
    <row r="7">
      <c r="A7" s="6">
        <f>'Cost Analysis'!A7</f>
        <v/>
      </c>
      <c r="B7" s="6">
        <f>'Cost Analysis'!B7</f>
        <v/>
      </c>
      <c r="C7" s="6">
        <f>'Cost Analysis'!D7</f>
        <v/>
      </c>
      <c r="D7" s="6">
        <f>'Cost Analysis'!E7</f>
        <v/>
      </c>
    </row>
    <row r="8">
      <c r="A8" s="6">
        <f>'Cost Analysis'!A8</f>
        <v/>
      </c>
      <c r="B8" s="6">
        <f>'Cost Analysis'!B8</f>
        <v/>
      </c>
      <c r="C8" s="6">
        <f>'Cost Analysis'!D8</f>
        <v/>
      </c>
      <c r="D8" s="6">
        <f>'Cost Analysis'!E8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2026-04-21T19:29:37Z</dcterms:created>
  <dcterms:modified xmlns:dcterms="http://purl.org/dc/terms/" xmlns:xsi="http://www.w3.org/2001/XMLSchema-instance" xsi:type="dcterms:W3CDTF">2026-04-21T19:29:37Z</dcterms:modified>
</cp:coreProperties>
</file>