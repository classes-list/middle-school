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</cols>
  <sheetData>
    <row r="1" ht="26" customHeight="1">
      <c r="A1" s="1" t="inlineStr">
        <is>
          <t>Stadium Seating Planner</t>
        </is>
      </c>
    </row>
    <row r="2" ht="18" customHeight="1">
      <c r="A2" s="2" t="inlineStr">
        <is>
          <t>28 rows × 36 seats</t>
        </is>
      </c>
    </row>
    <row r="3" ht="32" customHeight="1">
      <c r="A3" s="3" t="inlineStr">
        <is>
          <t>Calculation</t>
        </is>
      </c>
      <c r="B3" s="3" t="inlineStr">
        <is>
          <t>Formula</t>
        </is>
      </c>
      <c r="C3" s="3" t="inlineStr">
        <is>
          <t>Result</t>
        </is>
      </c>
    </row>
    <row r="4">
      <c r="A4" s="4" t="inlineStr">
        <is>
          <t>Total seats</t>
        </is>
      </c>
      <c r="B4" s="5">
        <f>28*36</f>
        <v/>
      </c>
      <c r="C4" s="6">
        <f>28*36</f>
        <v/>
      </c>
    </row>
    <row r="5">
      <c r="A5" s="4" t="inlineStr">
        <is>
          <t>Families (4 tickets each)</t>
        </is>
      </c>
      <c r="B5" s="5">
        <f>B4/4</f>
        <v/>
      </c>
      <c r="C5" s="6">
        <f>B4/4</f>
        <v/>
      </c>
    </row>
    <row r="6">
      <c r="A6" s="4" t="inlineStr">
        <is>
          <t>Revenue at $12/ticket</t>
        </is>
      </c>
      <c r="B6" s="5">
        <f>B4*12</f>
        <v/>
      </c>
      <c r="C6" s="7">
        <f>B4*12</f>
        <v/>
      </c>
    </row>
    <row r="7">
      <c r="A7" s="4" t="inlineStr">
        <is>
          <t>10% teacher reservation</t>
        </is>
      </c>
      <c r="B7" s="5">
        <f>B4/10</f>
        <v/>
      </c>
      <c r="C7" s="6">
        <f>B4/10</f>
        <v/>
      </c>
    </row>
    <row r="8">
      <c r="A8" s="4" t="inlineStr">
        <is>
          <t>15% teacher reservation</t>
        </is>
      </c>
      <c r="B8" s="5">
        <f>B4*0.15</f>
        <v/>
      </c>
      <c r="C8" s="6">
        <f>B4*0.15</f>
        <v/>
      </c>
    </row>
    <row r="9">
      <c r="A9" s="4" t="inlineStr">
        <is>
          <t>Folding chairs (3×4 aisles)</t>
        </is>
      </c>
      <c r="B9" s="5">
        <f>3*4</f>
        <v/>
      </c>
      <c r="C9" s="6">
        <f>3*4</f>
        <v/>
      </c>
    </row>
    <row r="10">
      <c r="A10" s="4" t="inlineStr">
        <is>
          <t>Total with folding chairs</t>
        </is>
      </c>
      <c r="B10" s="5">
        <f>B4+B9</f>
        <v/>
      </c>
      <c r="C10" s="6">
        <f>B4+B9</f>
        <v/>
      </c>
    </row>
    <row r="11">
      <c r="A11" s="4" t="inlineStr">
        <is>
          <t>Revenue if fully sold out</t>
        </is>
      </c>
      <c r="B11" s="5">
        <f>B10*12</f>
        <v/>
      </c>
      <c r="C11" s="7">
        <f>B10*12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