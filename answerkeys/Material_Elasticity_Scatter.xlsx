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el" sheetId="1" state="visible" r:id="rId1"/>
    <sheet xmlns:r="http://schemas.openxmlformats.org/officeDocument/2006/relationships" name="Nylon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5" fillId="0" borderId="0" pivotButton="0" quotePrefix="0" xfId="0"/>
    <xf numFmtId="2" fontId="5" fillId="0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Steel: F vs. Elongation</a:t>
            </a:r>
          </a:p>
        </rich>
      </tx>
    </title>
    <plotArea>
      <scatterChart>
        <ser>
          <idx val="0"/>
          <order val="0"/>
          <tx>
            <v>Data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'Steel'!$A$4:$A$13</f>
            </numRef>
          </xVal>
          <yVal>
            <numRef>
              <f>'Steel'!$B$4:$B$13</f>
            </numRef>
          </yVal>
        </ser>
        <ser>
          <idx val="1"/>
          <order val="1"/>
          <tx>
            <v>Trend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'Steel'!$A$4:$A$13</f>
            </numRef>
          </xVal>
          <yVal>
            <numRef>
              <f>'Steel'!$C$4:$C$13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Nylon: F vs. Elongation</a:t>
            </a:r>
          </a:p>
        </rich>
      </tx>
    </title>
    <plotArea>
      <scatterChart>
        <ser>
          <idx val="0"/>
          <order val="0"/>
          <tx>
            <v>Data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'Nylon'!$A$4:$A$13</f>
            </numRef>
          </xVal>
          <yVal>
            <numRef>
              <f>'Nylon'!$B$4:$B$13</f>
            </numRef>
          </yVal>
        </ser>
        <ser>
          <idx val="1"/>
          <order val="1"/>
          <tx>
            <v>Trend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'Nylon'!$A$4:$A$13</f>
            </numRef>
          </xVal>
          <yVal>
            <numRef>
              <f>'Nylon'!$C$4:$C$13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Steel — Force vs. Elongation</t>
        </is>
      </c>
    </row>
    <row r="2" ht="18" customHeight="1">
      <c r="A2" s="2" t="inlineStr">
        <is>
          <t>Low slope (stiff)</t>
        </is>
      </c>
    </row>
    <row r="3" ht="32" customHeight="1">
      <c r="A3" s="3" t="inlineStr">
        <is>
          <t>Force (N)</t>
        </is>
      </c>
      <c r="B3" s="3" t="inlineStr">
        <is>
          <t>Elongation (mm)</t>
        </is>
      </c>
      <c r="C3" s="3" t="inlineStr">
        <is>
          <t>Predicted line</t>
        </is>
      </c>
    </row>
    <row r="4">
      <c r="A4" s="4" t="n">
        <v>100</v>
      </c>
      <c r="B4" s="4" t="n">
        <v>0.08</v>
      </c>
      <c r="C4" s="5">
        <f>0.00082*A4</f>
        <v/>
      </c>
    </row>
    <row r="5">
      <c r="A5" s="4" t="n">
        <v>200</v>
      </c>
      <c r="B5" s="4" t="n">
        <v>0.17</v>
      </c>
      <c r="C5" s="5">
        <f>0.00082*A5</f>
        <v/>
      </c>
    </row>
    <row r="6">
      <c r="A6" s="4" t="n">
        <v>300</v>
      </c>
      <c r="B6" s="4" t="n">
        <v>0.24</v>
      </c>
      <c r="C6" s="5">
        <f>0.00082*A6</f>
        <v/>
      </c>
    </row>
    <row r="7">
      <c r="A7" s="4" t="n">
        <v>400</v>
      </c>
      <c r="B7" s="4" t="n">
        <v>0.33</v>
      </c>
      <c r="C7" s="5">
        <f>0.00082*A7</f>
        <v/>
      </c>
    </row>
    <row r="8">
      <c r="A8" s="4" t="n">
        <v>500</v>
      </c>
      <c r="B8" s="4" t="n">
        <v>0.41</v>
      </c>
      <c r="C8" s="5">
        <f>0.00082*A8</f>
        <v/>
      </c>
    </row>
    <row r="9">
      <c r="A9" s="4" t="n">
        <v>600</v>
      </c>
      <c r="B9" s="4" t="n">
        <v>0.49</v>
      </c>
      <c r="C9" s="5">
        <f>0.00082*A9</f>
        <v/>
      </c>
    </row>
    <row r="10">
      <c r="A10" s="4" t="n">
        <v>700</v>
      </c>
      <c r="B10" s="4" t="n">
        <v>0.58</v>
      </c>
      <c r="C10" s="5">
        <f>0.00082*A10</f>
        <v/>
      </c>
    </row>
    <row r="11">
      <c r="A11" s="4" t="n">
        <v>800</v>
      </c>
      <c r="B11" s="4" t="n">
        <v>0.66</v>
      </c>
      <c r="C11" s="5">
        <f>0.00082*A11</f>
        <v/>
      </c>
    </row>
    <row r="12">
      <c r="A12" s="4" t="n">
        <v>900</v>
      </c>
      <c r="B12" s="4" t="n">
        <v>0.74</v>
      </c>
      <c r="C12" s="5">
        <f>0.00082*A12</f>
        <v/>
      </c>
    </row>
    <row r="13">
      <c r="A13" s="4" t="n">
        <v>1000</v>
      </c>
      <c r="B13" s="4" t="n">
        <v>0.82</v>
      </c>
      <c r="C13" s="5">
        <f>0.00082*A13</f>
        <v/>
      </c>
    </row>
  </sheetData>
  <mergeCells count="2">
    <mergeCell ref="A1:C1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Nylon — Force vs. Elongation</t>
        </is>
      </c>
    </row>
    <row r="2" ht="18" customHeight="1">
      <c r="A2" s="2" t="inlineStr">
        <is>
          <t>High slope (stretchy)</t>
        </is>
      </c>
    </row>
    <row r="3" ht="32" customHeight="1">
      <c r="A3" s="3" t="inlineStr">
        <is>
          <t>Force (N)</t>
        </is>
      </c>
      <c r="B3" s="3" t="inlineStr">
        <is>
          <t>Elongation (mm)</t>
        </is>
      </c>
      <c r="C3" s="3" t="inlineStr">
        <is>
          <t>Predicted line</t>
        </is>
      </c>
    </row>
    <row r="4">
      <c r="A4" s="4" t="n">
        <v>100</v>
      </c>
      <c r="B4" s="4" t="n">
        <v>2.5</v>
      </c>
      <c r="C4" s="6">
        <f>0.0243*A4</f>
        <v/>
      </c>
    </row>
    <row r="5">
      <c r="A5" s="4" t="n">
        <v>200</v>
      </c>
      <c r="B5" s="4" t="n">
        <v>4.8</v>
      </c>
      <c r="C5" s="6">
        <f>0.0243*A5</f>
        <v/>
      </c>
    </row>
    <row r="6">
      <c r="A6" s="4" t="n">
        <v>300</v>
      </c>
      <c r="B6" s="4" t="n">
        <v>7.3</v>
      </c>
      <c r="C6" s="6">
        <f>0.0243*A6</f>
        <v/>
      </c>
    </row>
    <row r="7">
      <c r="A7" s="4" t="n">
        <v>400</v>
      </c>
      <c r="B7" s="4" t="n">
        <v>9.699999999999999</v>
      </c>
      <c r="C7" s="6">
        <f>0.0243*A7</f>
        <v/>
      </c>
    </row>
    <row r="8">
      <c r="A8" s="4" t="n">
        <v>500</v>
      </c>
      <c r="B8" s="4" t="n">
        <v>12.2</v>
      </c>
      <c r="C8" s="6">
        <f>0.0243*A8</f>
        <v/>
      </c>
    </row>
    <row r="9">
      <c r="A9" s="4" t="n">
        <v>600</v>
      </c>
      <c r="B9" s="4" t="n">
        <v>14.5</v>
      </c>
      <c r="C9" s="6">
        <f>0.0243*A9</f>
        <v/>
      </c>
    </row>
    <row r="10">
      <c r="A10" s="4" t="n">
        <v>700</v>
      </c>
      <c r="B10" s="4" t="n">
        <v>17.1</v>
      </c>
      <c r="C10" s="6">
        <f>0.0243*A10</f>
        <v/>
      </c>
    </row>
    <row r="11">
      <c r="A11" s="4" t="n">
        <v>800</v>
      </c>
      <c r="B11" s="4" t="n">
        <v>19.4</v>
      </c>
      <c r="C11" s="6">
        <f>0.0243*A11</f>
        <v/>
      </c>
    </row>
    <row r="12">
      <c r="A12" s="4" t="n">
        <v>900</v>
      </c>
      <c r="B12" s="4" t="n">
        <v>21.8</v>
      </c>
      <c r="C12" s="6">
        <f>0.0243*A12</f>
        <v/>
      </c>
    </row>
    <row r="13">
      <c r="A13" s="4" t="n">
        <v>1000</v>
      </c>
      <c r="B13" s="4" t="n">
        <v>24.3</v>
      </c>
      <c r="C13" s="6">
        <f>0.0243*A13</f>
        <v/>
      </c>
    </row>
  </sheetData>
  <mergeCells count="2">
    <mergeCell ref="A1:C1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Prediction Table</t>
        </is>
      </c>
    </row>
    <row r="2" ht="18" customHeight="1">
      <c r="A2" s="2" t="inlineStr">
        <is>
          <t>Use slopes to predict new forces</t>
        </is>
      </c>
    </row>
    <row r="3" ht="32" customHeight="1">
      <c r="A3" s="3" t="inlineStr">
        <is>
          <t>Force (N)</t>
        </is>
      </c>
      <c r="B3" s="3" t="inlineStr">
        <is>
          <t>Steel ΔL (mm)</t>
        </is>
      </c>
      <c r="C3" s="3" t="inlineStr">
        <is>
          <t>Nylon ΔL (mm)</t>
        </is>
      </c>
      <c r="D3" s="3" t="inlineStr">
        <is>
          <t>Ratio N/S</t>
        </is>
      </c>
    </row>
    <row r="4">
      <c r="A4" s="4" t="n">
        <v>250</v>
      </c>
      <c r="B4" s="5">
        <f>0.00082*A4</f>
        <v/>
      </c>
      <c r="C4" s="6">
        <f>0.0243*A4</f>
        <v/>
      </c>
      <c r="D4" s="7">
        <f>C4/B4</f>
        <v/>
      </c>
    </row>
    <row r="5">
      <c r="A5" s="4" t="n">
        <v>550</v>
      </c>
      <c r="B5" s="5">
        <f>0.00082*A5</f>
        <v/>
      </c>
      <c r="C5" s="6">
        <f>0.0243*A5</f>
        <v/>
      </c>
      <c r="D5" s="7">
        <f>C5/B5</f>
        <v/>
      </c>
    </row>
    <row r="6">
      <c r="A6" s="4" t="n">
        <v>750</v>
      </c>
      <c r="B6" s="5">
        <f>0.00082*A6</f>
        <v/>
      </c>
      <c r="C6" s="6">
        <f>0.0243*A6</f>
        <v/>
      </c>
      <c r="D6" s="7">
        <f>C6/B6</f>
        <v/>
      </c>
    </row>
    <row r="7">
      <c r="A7" s="4" t="n">
        <v>1200</v>
      </c>
      <c r="B7" s="5">
        <f>0.00082*A7</f>
        <v/>
      </c>
      <c r="C7" s="6">
        <f>0.0243*A7</f>
        <v/>
      </c>
      <c r="D7" s="7">
        <f>C7/B7</f>
        <v/>
      </c>
    </row>
    <row r="8">
      <c r="A8" s="4" t="n">
        <v>1500</v>
      </c>
      <c r="B8" s="5">
        <f>0.00082*A8</f>
        <v/>
      </c>
      <c r="C8" s="6">
        <f>0.0243*A8</f>
        <v/>
      </c>
      <c r="D8" s="7">
        <f>C8/B8</f>
        <v/>
      </c>
    </row>
    <row r="9">
      <c r="A9" s="4" t="n">
        <v>2000</v>
      </c>
      <c r="B9" s="5">
        <f>0.00082*A9</f>
        <v/>
      </c>
      <c r="C9" s="6">
        <f>0.0243*A9</f>
        <v/>
      </c>
      <c r="D9" s="7">
        <f>C9/B9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2026-04-21T19:29:37Z</dcterms:created>
  <dcterms:modified xmlns:dcterms="http://purl.org/dc/terms/" xmlns:xsi="http://www.w3.org/2001/XMLSchema-instance" xsi:type="dcterms:W3CDTF">2026-04-21T19:29:37Z</dcterms:modified>
</cp:coreProperties>
</file>