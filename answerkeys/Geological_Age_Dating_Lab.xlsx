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alf_Life_Table" sheetId="1" state="visible" r:id="rId3"/>
    <sheet name="Isotope_Ref" sheetId="2" state="visible" r:id="rId4"/>
    <sheet name="Age_Calculator" sheetId="3" state="visible" r:id="rId5"/>
    <sheet name="Deep_Tim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<sst xmlns="http://schemas.openxmlformats.org/spreadsheetml/2006/main" count="64" uniqueCount="56">
  <si>
    <t xml:space="preserve">Half-Life Decay Table</t>
  </si>
  <si>
    <t xml:space="preserve">Fraction, percent, and grams remaining (started with 1000 g)</t>
  </si>
  <si>
    <t xml:space="preserve">Half-Lives (n)</t>
  </si>
  <si>
    <t xml:space="preserve">Fraction =0.5^n</t>
  </si>
  <si>
    <t xml:space="preserve">Percent =B·100</t>
  </si>
  <si>
    <t xml:space="preserve">Grams from 1000g =1000·B</t>
  </si>
  <si>
    <t xml:space="preserve">Isotope Reference Table</t>
  </si>
  <si>
    <t xml:space="preserve">5 isotopes used in geological dating</t>
  </si>
  <si>
    <t xml:space="preserve">Isotope</t>
  </si>
  <si>
    <t xml:space="preserve">Parent</t>
  </si>
  <si>
    <t xml:space="preserve">Daughter</t>
  </si>
  <si>
    <t xml:space="preserve">Half-life (yr)</t>
  </si>
  <si>
    <t xml:space="preserve">Useful Dating Range</t>
  </si>
  <si>
    <t xml:space="preserve">Carbon-14</t>
  </si>
  <si>
    <t xml:space="preserve">C-14</t>
  </si>
  <si>
    <t xml:space="preserve">N-14</t>
  </si>
  <si>
    <t xml:space="preserve">Potassium-40</t>
  </si>
  <si>
    <t xml:space="preserve">K-40</t>
  </si>
  <si>
    <t xml:space="preserve">Ar-40</t>
  </si>
  <si>
    <t xml:space="preserve">Uranium-238</t>
  </si>
  <si>
    <t xml:space="preserve">U-238</t>
  </si>
  <si>
    <t xml:space="preserve">Pb-206</t>
  </si>
  <si>
    <t xml:space="preserve">Rubidium-87</t>
  </si>
  <si>
    <t xml:space="preserve">Rb-87</t>
  </si>
  <si>
    <t xml:space="preserve">Sr-87</t>
  </si>
  <si>
    <t xml:space="preserve">Thorium-232</t>
  </si>
  <si>
    <t xml:space="preserve">Th-232</t>
  </si>
  <si>
    <t xml:space="preserve">Pb-208</t>
  </si>
  <si>
    <t xml:space="preserve">Radiometric Age Calculator</t>
  </si>
  <si>
    <t xml:space="preserve">Age = half-lives × half-life</t>
  </si>
  <si>
    <t xml:space="preserve">Sample</t>
  </si>
  <si>
    <t xml:space="preserve">Original (g)</t>
  </si>
  <si>
    <t xml:space="preserve">Current (g)</t>
  </si>
  <si>
    <t xml:space="preserve">Half-lives =LOG(E/D)/LOG(0.5)</t>
  </si>
  <si>
    <t xml:space="preserve">Age (yr) =F·C</t>
  </si>
  <si>
    <t xml:space="preserve">Age (Myr) =G/1e6</t>
  </si>
  <si>
    <t xml:space="preserve">Moon rock</t>
  </si>
  <si>
    <t xml:space="preserve">Ancient coral</t>
  </si>
  <si>
    <t xml:space="preserve">Granite boulder</t>
  </si>
  <si>
    <t xml:space="preserve">Martian meteorite</t>
  </si>
  <si>
    <t xml:space="preserve">Ancient wood</t>
  </si>
  <si>
    <t xml:space="preserve">Oldest Earth zircon</t>
  </si>
  <si>
    <t xml:space="preserve">Ancient wood: 100→6.25 g means 4 halvings (½⁴ = 1/16 = 6.25%). Age = 4 × 5,730 = 22,920 yr. Matches the LOG formula.</t>
  </si>
  <si>
    <t xml:space="preserve">Deep Time Timeline</t>
  </si>
  <si>
    <t xml:space="preserve">Major events in Earth history</t>
  </si>
  <si>
    <t xml:space="preserve">Event</t>
  </si>
  <si>
    <t xml:space="preserve">Age (Ma ago)</t>
  </si>
  <si>
    <t xml:space="preserve">% of Earth history =B/4600·100</t>
  </si>
  <si>
    <t xml:space="preserve">Formation of Earth</t>
  </si>
  <si>
    <t xml:space="preserve">Oldest known rocks</t>
  </si>
  <si>
    <t xml:space="preserve">First life</t>
  </si>
  <si>
    <t xml:space="preserve">First multicellular</t>
  </si>
  <si>
    <t xml:space="preserve">First land plants</t>
  </si>
  <si>
    <t xml:space="preserve">Dinosaur extinction</t>
  </si>
  <si>
    <t xml:space="preserve">First humans</t>
  </si>
  <si>
    <t xml:space="preserve">Today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</si>
</sst>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000"/>
    <numFmt numFmtId="166" formatCode="0.000\%"/>
    <numFmt numFmtId="167" formatCode="0.00"/>
    <numFmt numFmtId="168" formatCode="#,##0"/>
    <numFmt numFmtId="169" formatCode="#,##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11"/>
      <color rgb="FF55555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B3A8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B3A8A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% remaining vs half-lives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Half_Life_Table!C3</c:f>
              <c:strCache>
                <c:ptCount val="1"/>
                <c:pt idx="0">
                  <c:v>Percent =B·100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Half_Life_Table!$A$4:$A$16</c:f>
              <c:strCach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strCache>
            </c:strRef>
          </c:cat>
          <c:val>
            <c:numRef>
              <c:f>Half_Life_Table!$C$4:$C$16</c:f>
              <c:numCache>
                <c:formatCode>0.000\%</c:formatCode>
                <c:ptCount val="13"/>
                <c:pt idx="0">
                  <c:v>100</c:v>
                </c:pt>
                <c:pt idx="1">
                  <c:v>50</c:v>
                </c:pt>
                <c:pt idx="2">
                  <c:v>25</c:v>
                </c:pt>
                <c:pt idx="3">
                  <c:v>12.5</c:v>
                </c:pt>
                <c:pt idx="4">
                  <c:v>6.25</c:v>
                </c:pt>
                <c:pt idx="5">
                  <c:v>3.125</c:v>
                </c:pt>
                <c:pt idx="6">
                  <c:v>1.5625</c:v>
                </c:pt>
                <c:pt idx="7">
                  <c:v>0.78125</c:v>
                </c:pt>
                <c:pt idx="8">
                  <c:v>0.390625</c:v>
                </c:pt>
                <c:pt idx="9">
                  <c:v>0.1953125</c:v>
                </c:pt>
                <c:pt idx="10">
                  <c:v>0.09765625</c:v>
                </c:pt>
                <c:pt idx="11">
                  <c:v>0.048828125</c:v>
                </c:pt>
                <c:pt idx="12">
                  <c:v>0.0244140625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5174093"/>
        <c:axId val="12420303"/>
      </c:lineChart>
      <c:catAx>
        <c:axId val="251740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Half-Lives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2420303"/>
        <c:crosses val="autoZero"/>
        <c:auto val="1"/>
        <c:lblAlgn val="ctr"/>
        <c:lblOffset val="100"/>
        <c:noMultiLvlLbl val="0"/>
      </c:catAx>
      <c:valAx>
        <c:axId val="124203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Percent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\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517409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Major Earth events (Ma ago)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Deep_Time!B3</c:f>
              <c:strCache>
                <c:ptCount val="1"/>
                <c:pt idx="0">
                  <c:v>Age (Ma ago)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Deep_Time!$A$4:$A$11</c:f>
              <c:strCache>
                <c:ptCount val="8"/>
                <c:pt idx="0">
                  <c:v>Formation of Earth</c:v>
                </c:pt>
                <c:pt idx="1">
                  <c:v>Oldest known rocks</c:v>
                </c:pt>
                <c:pt idx="2">
                  <c:v>First life</c:v>
                </c:pt>
                <c:pt idx="3">
                  <c:v>First multicellular</c:v>
                </c:pt>
                <c:pt idx="4">
                  <c:v>First land plants</c:v>
                </c:pt>
                <c:pt idx="5">
                  <c:v>Dinosaur extinction</c:v>
                </c:pt>
                <c:pt idx="6">
                  <c:v>First humans</c:v>
                </c:pt>
                <c:pt idx="7">
                  <c:v>Today</c:v>
                </c:pt>
              </c:strCache>
            </c:strRef>
          </c:cat>
          <c:val>
            <c:numRef>
              <c:f>Deep_Time!$B$4:$B$11</c:f>
              <c:numCache>
                <c:formatCode>#,##0.0</c:formatCode>
                <c:ptCount val="8"/>
                <c:pt idx="0">
                  <c:v>4600</c:v>
                </c:pt>
                <c:pt idx="1">
                  <c:v>4000</c:v>
                </c:pt>
                <c:pt idx="2">
                  <c:v>3800</c:v>
                </c:pt>
                <c:pt idx="3">
                  <c:v>600</c:v>
                </c:pt>
                <c:pt idx="4">
                  <c:v>475</c:v>
                </c:pt>
                <c:pt idx="5">
                  <c:v>66</c:v>
                </c:pt>
                <c:pt idx="6">
                  <c:v>0.3</c:v>
                </c:pt>
                <c:pt idx="7">
                  <c:v>0</c:v>
                </c:pt>
              </c:numCache>
            </c:numRef>
          </c:val>
        </c:ser>
        <c:gapWidth val="150"/>
        <c:overlap val="0"/>
        <c:axId val="13508777"/>
        <c:axId val="42933853"/>
      </c:barChart>
      <c:catAx>
        <c:axId val="135087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Event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2933853"/>
        <c:crosses val="autoZero"/>
        <c:auto val="1"/>
        <c:lblAlgn val="ctr"/>
        <c:lblOffset val="100"/>
        <c:noMultiLvlLbl val="0"/>
      </c:catAx>
      <c:valAx>
        <c:axId val="429338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350877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0</xdr:rowOff>
    </xdr:from>
    <xdr:to>
      <xdr:col>15</xdr:col>
      <xdr:colOff>363960</xdr:colOff>
      <xdr:row>21</xdr:row>
      <xdr:rowOff>129960</xdr:rowOff>
    </xdr:to>
    <xdr:graphicFrame>
      <xdr:nvGraphicFramePr>
        <xdr:cNvPr id="1" name="Chart 1"/>
        <xdr:cNvGraphicFramePr/>
      </xdr:nvGraphicFramePr>
      <xdr:xfrm>
        <a:off x="5686560" y="552600"/>
        <a:ext cx="6478920" cy="39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0</xdr:rowOff>
    </xdr:from>
    <xdr:to>
      <xdr:col>14</xdr:col>
      <xdr:colOff>363600</xdr:colOff>
      <xdr:row>21</xdr:row>
      <xdr:rowOff>129960</xdr:rowOff>
    </xdr:to>
    <xdr:graphicFrame>
      <xdr:nvGraphicFramePr>
        <xdr:cNvPr id="2" name="Chart 1"/>
        <xdr:cNvGraphicFramePr/>
      </xdr:nvGraphicFramePr>
      <xdr:xfrm>
        <a:off x="5404320" y="552600"/>
        <a:ext cx="6478920" cy="39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4" min="4" style="1" width="22"/>
  </cols>
  <sheetData>
    <row r="1" customFormat="false" ht="25.5" hidden="false" customHeight="true" outlineLevel="0" collapsed="false">
      <c r="A1" s="2" t="s">
        <v>0</v>
      </c>
      <c r="B1" s="2"/>
      <c r="C1" s="2"/>
      <c r="D1" s="2"/>
    </row>
    <row r="2" customFormat="false" ht="18" hidden="false" customHeight="true" outlineLevel="0" collapsed="false">
      <c r="A2" s="3" t="s">
        <v>1</v>
      </c>
      <c r="B2" s="3"/>
      <c r="C2" s="3"/>
      <c r="D2" s="3"/>
    </row>
    <row r="3" customFormat="false" ht="31.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</row>
    <row r="4" customFormat="false" ht="15" hidden="false" customHeight="false" outlineLevel="0" collapsed="false">
      <c r="A4" s="5" t="n">
        <v>0</v>
      </c>
      <c r="B4" s="6" t="n">
        <f aca="false">0.5^A4</f>
        <v>1</v>
      </c>
      <c r="C4" s="7" t="n">
        <f aca="false">B4*100</f>
        <v>100</v>
      </c>
      <c r="D4" s="8" t="n">
        <f aca="false">1000*B4</f>
        <v>1000</v>
      </c>
    </row>
    <row r="5" customFormat="false" ht="15" hidden="false" customHeight="false" outlineLevel="0" collapsed="false">
      <c r="A5" s="5" t="n">
        <v>1</v>
      </c>
      <c r="B5" s="6" t="n">
        <f aca="false">0.5^A5</f>
        <v>0.5</v>
      </c>
      <c r="C5" s="7" t="n">
        <f aca="false">B5*100</f>
        <v>50</v>
      </c>
      <c r="D5" s="8" t="n">
        <f aca="false">1000*B5</f>
        <v>500</v>
      </c>
    </row>
    <row r="6" customFormat="false" ht="15" hidden="false" customHeight="false" outlineLevel="0" collapsed="false">
      <c r="A6" s="5" t="n">
        <v>2</v>
      </c>
      <c r="B6" s="6" t="n">
        <f aca="false">0.5^A6</f>
        <v>0.25</v>
      </c>
      <c r="C6" s="7" t="n">
        <f aca="false">B6*100</f>
        <v>25</v>
      </c>
      <c r="D6" s="8" t="n">
        <f aca="false">1000*B6</f>
        <v>250</v>
      </c>
    </row>
    <row r="7" customFormat="false" ht="15" hidden="false" customHeight="false" outlineLevel="0" collapsed="false">
      <c r="A7" s="5" t="n">
        <v>3</v>
      </c>
      <c r="B7" s="6" t="n">
        <f aca="false">0.5^A7</f>
        <v>0.125</v>
      </c>
      <c r="C7" s="7" t="n">
        <f aca="false">B7*100</f>
        <v>12.5</v>
      </c>
      <c r="D7" s="8" t="n">
        <f aca="false">1000*B7</f>
        <v>125</v>
      </c>
    </row>
    <row r="8" customFormat="false" ht="15" hidden="false" customHeight="false" outlineLevel="0" collapsed="false">
      <c r="A8" s="5" t="n">
        <v>4</v>
      </c>
      <c r="B8" s="6" t="n">
        <f aca="false">0.5^A8</f>
        <v>0.0625</v>
      </c>
      <c r="C8" s="7" t="n">
        <f aca="false">B8*100</f>
        <v>6.25</v>
      </c>
      <c r="D8" s="8" t="n">
        <f aca="false">1000*B8</f>
        <v>62.5</v>
      </c>
    </row>
    <row r="9" customFormat="false" ht="15" hidden="false" customHeight="false" outlineLevel="0" collapsed="false">
      <c r="A9" s="5" t="n">
        <v>5</v>
      </c>
      <c r="B9" s="6" t="n">
        <f aca="false">0.5^A9</f>
        <v>0.03125</v>
      </c>
      <c r="C9" s="7" t="n">
        <f aca="false">B9*100</f>
        <v>3.125</v>
      </c>
      <c r="D9" s="8" t="n">
        <f aca="false">1000*B9</f>
        <v>31.25</v>
      </c>
    </row>
    <row r="10" customFormat="false" ht="15" hidden="false" customHeight="false" outlineLevel="0" collapsed="false">
      <c r="A10" s="5" t="n">
        <v>6</v>
      </c>
      <c r="B10" s="6" t="n">
        <f aca="false">0.5^A10</f>
        <v>0.015625</v>
      </c>
      <c r="C10" s="7" t="n">
        <f aca="false">B10*100</f>
        <v>1.5625</v>
      </c>
      <c r="D10" s="8" t="n">
        <f aca="false">1000*B10</f>
        <v>15.625</v>
      </c>
    </row>
    <row r="11" customFormat="false" ht="15" hidden="false" customHeight="false" outlineLevel="0" collapsed="false">
      <c r="A11" s="5" t="n">
        <v>7</v>
      </c>
      <c r="B11" s="6" t="n">
        <f aca="false">0.5^A11</f>
        <v>0.0078125</v>
      </c>
      <c r="C11" s="7" t="n">
        <f aca="false">B11*100</f>
        <v>0.78125</v>
      </c>
      <c r="D11" s="8" t="n">
        <f aca="false">1000*B11</f>
        <v>7.8125</v>
      </c>
    </row>
    <row r="12" customFormat="false" ht="15" hidden="false" customHeight="false" outlineLevel="0" collapsed="false">
      <c r="A12" s="5" t="n">
        <v>8</v>
      </c>
      <c r="B12" s="6" t="n">
        <f aca="false">0.5^A12</f>
        <v>0.00390625</v>
      </c>
      <c r="C12" s="7" t="n">
        <f aca="false">B12*100</f>
        <v>0.390625</v>
      </c>
      <c r="D12" s="8" t="n">
        <f aca="false">1000*B12</f>
        <v>3.90625</v>
      </c>
    </row>
    <row r="13" customFormat="false" ht="15" hidden="false" customHeight="false" outlineLevel="0" collapsed="false">
      <c r="A13" s="5" t="n">
        <v>9</v>
      </c>
      <c r="B13" s="6" t="n">
        <f aca="false">0.5^A13</f>
        <v>0.001953125</v>
      </c>
      <c r="C13" s="7" t="n">
        <f aca="false">B13*100</f>
        <v>0.1953125</v>
      </c>
      <c r="D13" s="8" t="n">
        <f aca="false">1000*B13</f>
        <v>1.953125</v>
      </c>
    </row>
    <row r="14" customFormat="false" ht="15" hidden="false" customHeight="false" outlineLevel="0" collapsed="false">
      <c r="A14" s="5" t="n">
        <v>10</v>
      </c>
      <c r="B14" s="6" t="n">
        <f aca="false">0.5^A14</f>
        <v>0.0009765625</v>
      </c>
      <c r="C14" s="7" t="n">
        <f aca="false">B14*100</f>
        <v>0.09765625</v>
      </c>
      <c r="D14" s="8" t="n">
        <f aca="false">1000*B14</f>
        <v>0.9765625</v>
      </c>
    </row>
    <row r="15" customFormat="false" ht="15" hidden="false" customHeight="false" outlineLevel="0" collapsed="false">
      <c r="A15" s="5" t="n">
        <v>11</v>
      </c>
      <c r="B15" s="6" t="n">
        <f aca="false">0.5^A15</f>
        <v>0.00048828125</v>
      </c>
      <c r="C15" s="7" t="n">
        <f aca="false">B15*100</f>
        <v>0.048828125</v>
      </c>
      <c r="D15" s="8" t="n">
        <f aca="false">1000*B15</f>
        <v>0.48828125</v>
      </c>
    </row>
    <row r="16" customFormat="false" ht="15" hidden="false" customHeight="false" outlineLevel="0" collapsed="false">
      <c r="A16" s="5" t="n">
        <v>12</v>
      </c>
      <c r="B16" s="6" t="n">
        <f aca="false">0.5^A16</f>
        <v>0.000244140625</v>
      </c>
      <c r="C16" s="7" t="n">
        <f aca="false">B16*100</f>
        <v>0.0244140625</v>
      </c>
      <c r="D16" s="8" t="n">
        <f aca="false">1000*B16</f>
        <v>0.244140625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2"/>
    <col collapsed="false" customWidth="true" hidden="false" outlineLevel="0" max="4" min="4" style="1" width="22"/>
    <col collapsed="false" customWidth="true" hidden="false" outlineLevel="0" max="5" min="5" style="1" width="36"/>
  </cols>
  <sheetData>
    <row r="1" customFormat="false" ht="25.5" hidden="false" customHeight="true" outlineLevel="0" collapsed="false">
      <c r="A1" s="2" t="s">
        <v>6</v>
      </c>
      <c r="B1" s="2"/>
      <c r="C1" s="2"/>
      <c r="D1" s="2"/>
      <c r="E1" s="2"/>
    </row>
    <row r="2" customFormat="false" ht="18" hidden="false" customHeight="true" outlineLevel="0" collapsed="false">
      <c r="A2" s="3" t="s">
        <v>7</v>
      </c>
      <c r="B2" s="3"/>
      <c r="C2" s="3"/>
      <c r="D2" s="3"/>
      <c r="E2" s="3"/>
    </row>
    <row r="3" customFormat="false" ht="31.5" hidden="false" customHeight="true" outlineLevel="0" collapsed="false">
      <c r="A3" s="4" t="s">
        <v>8</v>
      </c>
      <c r="B3" s="4" t="s">
        <v>9</v>
      </c>
      <c r="C3" s="4" t="s">
        <v>10</v>
      </c>
      <c r="D3" s="4" t="s">
        <v>11</v>
      </c>
      <c r="E3" s="4" t="s">
        <v>12</v>
      </c>
    </row>
    <row r="4" customFormat="false" ht="15" hidden="false" customHeight="false" outlineLevel="0" collapsed="false">
      <c r="A4" s="9" t="s">
        <v>13</v>
      </c>
      <c r="B4" s="5" t="s">
        <v>14</v>
      </c>
      <c r="C4" s="5" t="s">
        <v>15</v>
      </c>
      <c r="D4" s="10" t="n">
        <v>5730</v>
      </c>
      <c r="E4" s="11" t="str">
        <f aca="false">IF(D4&lt;100000,"up to ~50,000 yr","millions–billions of years")</f>
        <v>up to ~50,000 yr</v>
      </c>
    </row>
    <row r="5" customFormat="false" ht="15" hidden="false" customHeight="false" outlineLevel="0" collapsed="false">
      <c r="A5" s="9" t="s">
        <v>16</v>
      </c>
      <c r="B5" s="5" t="s">
        <v>17</v>
      </c>
      <c r="C5" s="5" t="s">
        <v>18</v>
      </c>
      <c r="D5" s="10" t="n">
        <v>1250000000</v>
      </c>
      <c r="E5" s="11" t="str">
        <f aca="false">IF(D5&lt;100000,"up to ~50,000 yr","millions–billions of years")</f>
        <v>millions–billions of years</v>
      </c>
    </row>
    <row r="6" customFormat="false" ht="15" hidden="false" customHeight="false" outlineLevel="0" collapsed="false">
      <c r="A6" s="9" t="s">
        <v>19</v>
      </c>
      <c r="B6" s="5" t="s">
        <v>20</v>
      </c>
      <c r="C6" s="5" t="s">
        <v>21</v>
      </c>
      <c r="D6" s="10" t="n">
        <v>4470000000</v>
      </c>
      <c r="E6" s="11" t="str">
        <f aca="false">IF(D6&lt;100000,"up to ~50,000 yr","millions–billions of years")</f>
        <v>millions–billions of years</v>
      </c>
    </row>
    <row r="7" customFormat="false" ht="15" hidden="false" customHeight="false" outlineLevel="0" collapsed="false">
      <c r="A7" s="9" t="s">
        <v>22</v>
      </c>
      <c r="B7" s="5" t="s">
        <v>23</v>
      </c>
      <c r="C7" s="5" t="s">
        <v>24</v>
      </c>
      <c r="D7" s="10" t="n">
        <v>48800000000</v>
      </c>
      <c r="E7" s="11" t="str">
        <f aca="false">IF(D7&lt;100000,"up to ~50,000 yr","millions–billions of years")</f>
        <v>millions–billions of years</v>
      </c>
    </row>
    <row r="8" customFormat="false" ht="15" hidden="false" customHeight="false" outlineLevel="0" collapsed="false">
      <c r="A8" s="9" t="s">
        <v>25</v>
      </c>
      <c r="B8" s="5" t="s">
        <v>26</v>
      </c>
      <c r="C8" s="5" t="s">
        <v>27</v>
      </c>
      <c r="D8" s="10" t="n">
        <v>14050000000</v>
      </c>
      <c r="E8" s="11" t="str">
        <f aca="false">IF(D8&lt;100000,"up to ~50,000 yr","millions–billions of years")</f>
        <v>millions–billions of years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"/>
    <col collapsed="false" customWidth="true" hidden="false" outlineLevel="0" max="3" min="3" style="1" width="18"/>
    <col collapsed="false" customWidth="true" hidden="false" outlineLevel="0" max="5" min="4" style="1" width="14"/>
    <col collapsed="false" customWidth="true" hidden="false" outlineLevel="0" max="6" min="6" style="1" width="24"/>
    <col collapsed="false" customWidth="true" hidden="false" outlineLevel="0" max="7" min="7" style="1" width="18"/>
    <col collapsed="false" customWidth="true" hidden="false" outlineLevel="0" max="8" min="8" style="1" width="16"/>
  </cols>
  <sheetData>
    <row r="1" customFormat="false" ht="25.5" hidden="false" customHeight="true" outlineLevel="0" collapsed="false">
      <c r="A1" s="2" t="s">
        <v>28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29</v>
      </c>
      <c r="B2" s="3"/>
      <c r="C2" s="3"/>
      <c r="D2" s="3"/>
      <c r="E2" s="3"/>
      <c r="F2" s="3"/>
      <c r="G2" s="3"/>
      <c r="H2" s="3"/>
    </row>
    <row r="3" customFormat="false" ht="31.5" hidden="false" customHeight="true" outlineLevel="0" collapsed="false">
      <c r="A3" s="4" t="s">
        <v>30</v>
      </c>
      <c r="B3" s="4" t="s">
        <v>8</v>
      </c>
      <c r="C3" s="4" t="s">
        <v>11</v>
      </c>
      <c r="D3" s="4" t="s">
        <v>31</v>
      </c>
      <c r="E3" s="4" t="s">
        <v>32</v>
      </c>
      <c r="F3" s="4" t="s">
        <v>33</v>
      </c>
      <c r="G3" s="4" t="s">
        <v>34</v>
      </c>
      <c r="H3" s="4" t="s">
        <v>35</v>
      </c>
    </row>
    <row r="4" customFormat="false" ht="15" hidden="false" customHeight="false" outlineLevel="0" collapsed="false">
      <c r="A4" s="9" t="s">
        <v>36</v>
      </c>
      <c r="B4" s="5" t="s">
        <v>20</v>
      </c>
      <c r="C4" s="10" t="n">
        <v>4470000000</v>
      </c>
      <c r="D4" s="5" t="n">
        <v>100</v>
      </c>
      <c r="E4" s="5" t="n">
        <v>88.3</v>
      </c>
      <c r="F4" s="8" t="n">
        <f aca="false">LOG(E4/D4)/LOG(0.5)</f>
        <v>0.179514657013621</v>
      </c>
      <c r="G4" s="12" t="n">
        <f aca="false">F4*C4</f>
        <v>802430516.850886</v>
      </c>
      <c r="H4" s="13" t="n">
        <f aca="false">G4/1000000</f>
        <v>802.430516850886</v>
      </c>
    </row>
    <row r="5" customFormat="false" ht="15" hidden="false" customHeight="false" outlineLevel="0" collapsed="false">
      <c r="A5" s="9" t="s">
        <v>37</v>
      </c>
      <c r="B5" s="5" t="s">
        <v>14</v>
      </c>
      <c r="C5" s="10" t="n">
        <v>5730</v>
      </c>
      <c r="D5" s="5" t="n">
        <v>200</v>
      </c>
      <c r="E5" s="5" t="n">
        <v>12.5</v>
      </c>
      <c r="F5" s="8" t="n">
        <f aca="false">LOG(E5/D5)/LOG(0.5)</f>
        <v>4</v>
      </c>
      <c r="G5" s="12" t="n">
        <f aca="false">F5*C5</f>
        <v>22920</v>
      </c>
      <c r="H5" s="13" t="n">
        <f aca="false">G5/1000000</f>
        <v>0.02292</v>
      </c>
    </row>
    <row r="6" customFormat="false" ht="15" hidden="false" customHeight="false" outlineLevel="0" collapsed="false">
      <c r="A6" s="9" t="s">
        <v>38</v>
      </c>
      <c r="B6" s="5" t="s">
        <v>17</v>
      </c>
      <c r="C6" s="10" t="n">
        <v>1250000000</v>
      </c>
      <c r="D6" s="5" t="n">
        <v>400</v>
      </c>
      <c r="E6" s="5" t="n">
        <v>200</v>
      </c>
      <c r="F6" s="8" t="n">
        <f aca="false">LOG(E6/D6)/LOG(0.5)</f>
        <v>1</v>
      </c>
      <c r="G6" s="12" t="n">
        <f aca="false">F6*C6</f>
        <v>1250000000</v>
      </c>
      <c r="H6" s="13" t="n">
        <f aca="false">G6/1000000</f>
        <v>1250</v>
      </c>
    </row>
    <row r="7" customFormat="false" ht="15" hidden="false" customHeight="false" outlineLevel="0" collapsed="false">
      <c r="A7" s="9" t="s">
        <v>39</v>
      </c>
      <c r="B7" s="5" t="s">
        <v>20</v>
      </c>
      <c r="C7" s="10" t="n">
        <v>4470000000</v>
      </c>
      <c r="D7" s="5" t="n">
        <v>100</v>
      </c>
      <c r="E7" s="5" t="n">
        <v>75</v>
      </c>
      <c r="F7" s="8" t="n">
        <f aca="false">LOG(E7/D7)/LOG(0.5)</f>
        <v>0.415037499278844</v>
      </c>
      <c r="G7" s="12" t="n">
        <f aca="false">F7*C7</f>
        <v>1855217621.77643</v>
      </c>
      <c r="H7" s="13" t="n">
        <f aca="false">G7/1000000</f>
        <v>1855.21762177643</v>
      </c>
    </row>
    <row r="8" customFormat="false" ht="15" hidden="false" customHeight="false" outlineLevel="0" collapsed="false">
      <c r="A8" s="9" t="s">
        <v>40</v>
      </c>
      <c r="B8" s="5" t="s">
        <v>14</v>
      </c>
      <c r="C8" s="10" t="n">
        <v>5730</v>
      </c>
      <c r="D8" s="5" t="n">
        <v>100</v>
      </c>
      <c r="E8" s="5" t="n">
        <v>6.25</v>
      </c>
      <c r="F8" s="8" t="n">
        <f aca="false">LOG(E8/D8)/LOG(0.5)</f>
        <v>4</v>
      </c>
      <c r="G8" s="12" t="n">
        <f aca="false">F8*C8</f>
        <v>22920</v>
      </c>
      <c r="H8" s="13" t="n">
        <f aca="false">G8/1000000</f>
        <v>0.02292</v>
      </c>
    </row>
    <row r="9" customFormat="false" ht="15" hidden="false" customHeight="false" outlineLevel="0" collapsed="false">
      <c r="A9" s="9" t="s">
        <v>41</v>
      </c>
      <c r="B9" s="5" t="s">
        <v>20</v>
      </c>
      <c r="C9" s="10" t="n">
        <v>4470000000</v>
      </c>
      <c r="D9" s="5" t="n">
        <v>100</v>
      </c>
      <c r="E9" s="5" t="n">
        <v>36.7</v>
      </c>
      <c r="F9" s="8" t="n">
        <f aca="false">LOG(E9/D9)/LOG(0.5)</f>
        <v>1.44614803181887</v>
      </c>
      <c r="G9" s="12" t="n">
        <f aca="false">F9*C9</f>
        <v>6464281702.23037</v>
      </c>
      <c r="H9" s="13" t="n">
        <f aca="false">G9/1000000</f>
        <v>6464.28170223037</v>
      </c>
    </row>
    <row r="12" customFormat="false" ht="15" hidden="false" customHeight="false" outlineLevel="0" collapsed="false">
      <c r="A12" s="14" t="s">
        <v>42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6"/>
    <col collapsed="false" customWidth="true" hidden="false" outlineLevel="0" max="3" min="3" style="1" width="24"/>
  </cols>
  <sheetData>
    <row r="1" customFormat="false" ht="25.5" hidden="false" customHeight="true" outlineLevel="0" collapsed="false">
      <c r="A1" s="2" t="s">
        <v>43</v>
      </c>
      <c r="B1" s="2"/>
      <c r="C1" s="2"/>
    </row>
    <row r="2" customFormat="false" ht="18" hidden="false" customHeight="true" outlineLevel="0" collapsed="false">
      <c r="A2" s="3" t="s">
        <v>44</v>
      </c>
      <c r="B2" s="3"/>
      <c r="C2" s="3"/>
    </row>
    <row r="3" customFormat="false" ht="31.5" hidden="false" customHeight="true" outlineLevel="0" collapsed="false">
      <c r="A3" s="4" t="s">
        <v>45</v>
      </c>
      <c r="B3" s="4" t="s">
        <v>46</v>
      </c>
      <c r="C3" s="4" t="s">
        <v>47</v>
      </c>
    </row>
    <row r="4" customFormat="false" ht="15" hidden="false" customHeight="false" outlineLevel="0" collapsed="false">
      <c r="A4" s="9" t="s">
        <v>48</v>
      </c>
      <c r="B4" s="15" t="n">
        <v>4600</v>
      </c>
      <c r="C4" s="7" t="n">
        <f aca="false">B4/4600*100</f>
        <v>100</v>
      </c>
    </row>
    <row r="5" customFormat="false" ht="15" hidden="false" customHeight="false" outlineLevel="0" collapsed="false">
      <c r="A5" s="9" t="s">
        <v>49</v>
      </c>
      <c r="B5" s="15" t="n">
        <v>4000</v>
      </c>
      <c r="C5" s="7" t="n">
        <f aca="false">B5/4600*100</f>
        <v>86.9565217391304</v>
      </c>
    </row>
    <row r="6" customFormat="false" ht="15" hidden="false" customHeight="false" outlineLevel="0" collapsed="false">
      <c r="A6" s="9" t="s">
        <v>50</v>
      </c>
      <c r="B6" s="15" t="n">
        <v>3800</v>
      </c>
      <c r="C6" s="7" t="n">
        <f aca="false">B6/4600*100</f>
        <v>82.6086956521739</v>
      </c>
    </row>
    <row r="7" customFormat="false" ht="15" hidden="false" customHeight="false" outlineLevel="0" collapsed="false">
      <c r="A7" s="9" t="s">
        <v>51</v>
      </c>
      <c r="B7" s="15" t="n">
        <v>600</v>
      </c>
      <c r="C7" s="7" t="n">
        <f aca="false">B7/4600*100</f>
        <v>13.0434782608696</v>
      </c>
    </row>
    <row r="8" customFormat="false" ht="15" hidden="false" customHeight="false" outlineLevel="0" collapsed="false">
      <c r="A8" s="9" t="s">
        <v>52</v>
      </c>
      <c r="B8" s="15" t="n">
        <v>475</v>
      </c>
      <c r="C8" s="7" t="n">
        <f aca="false">B8/4600*100</f>
        <v>10.3260869565217</v>
      </c>
    </row>
    <row r="9" customFormat="false" ht="15" hidden="false" customHeight="false" outlineLevel="0" collapsed="false">
      <c r="A9" s="9" t="s">
        <v>53</v>
      </c>
      <c r="B9" s="15" t="n">
        <v>66</v>
      </c>
      <c r="C9" s="7" t="n">
        <f aca="false">B9/4600*100</f>
        <v>1.43478260869565</v>
      </c>
    </row>
    <row r="10" customFormat="false" ht="15" hidden="false" customHeight="false" outlineLevel="0" collapsed="false">
      <c r="A10" s="9" t="s">
        <v>54</v>
      </c>
      <c r="B10" s="15" t="n">
        <v>0.3</v>
      </c>
      <c r="C10" s="7" t="n">
        <f aca="false">B10/4600*100</f>
        <v>0.00652173913043478</v>
      </c>
    </row>
    <row r="11" customFormat="false" ht="15" hidden="false" customHeight="false" outlineLevel="0" collapsed="false">
      <c r="A11" s="9" t="s">
        <v>55</v>
      </c>
      <c r="B11" s="15" t="n">
        <v>0</v>
      </c>
      <c r="C11" s="7" t="n">
        <f aca="false">B11/4600*100</f>
        <v>0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2026-04-21T18:56:48Z</dcterms:created>
  <dc:creator>openpyxl</dc:creator>
  <dc:description/>
  <dc:language>en-US</dc:language>
  <cp:lastModifiedBy/>
  <dcterms:modified xsi:type="dcterms:W3CDTF">2026-04-21T19:02:03Z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