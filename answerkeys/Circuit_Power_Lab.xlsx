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Solar" sheetId="3" state="visible" r:id="rId3"/>
    <sheet xmlns:r="http://schemas.openxmlformats.org/officeDocument/2006/relationships" name="LED Savings" sheetId="4" state="visible" r:id="rId4"/>
    <sheet xmlns:r="http://schemas.openxmlformats.org/officeDocument/2006/relationships" name="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 Cost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'Chart'!$A$4:$A$13</f>
            </numRef>
          </cat>
          <val>
            <numRef>
              <f>'Chart'!$B$4:$B$13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Home Devices — Power (W)</t>
        </is>
      </c>
    </row>
    <row r="2" ht="18" customHeight="1">
      <c r="A2" s="2" t="inlineStr">
        <is>
          <t>Watts × hours = Wh</t>
        </is>
      </c>
    </row>
    <row r="3" ht="32" customHeight="1">
      <c r="A3" s="3" t="inlineStr">
        <is>
          <t>Device</t>
        </is>
      </c>
      <c r="B3" s="3" t="inlineStr">
        <is>
          <t>Power (W)</t>
        </is>
      </c>
      <c r="C3" s="3" t="inlineStr">
        <is>
          <t>Hrs/day</t>
        </is>
      </c>
      <c r="D3" s="3" t="inlineStr">
        <is>
          <t>kWh/day</t>
        </is>
      </c>
      <c r="E3" s="3" t="inlineStr">
        <is>
          <t>kWh/month</t>
        </is>
      </c>
    </row>
    <row r="4">
      <c r="A4" s="4" t="inlineStr">
        <is>
          <t>Refrigerator</t>
        </is>
      </c>
      <c r="B4" s="4" t="n">
        <v>150</v>
      </c>
      <c r="C4" s="4" t="n">
        <v>24</v>
      </c>
      <c r="D4" s="5">
        <f>B4*C4/1000</f>
        <v/>
      </c>
      <c r="E4" s="5">
        <f>D4*30</f>
        <v/>
      </c>
    </row>
    <row r="5">
      <c r="A5" s="4" t="inlineStr">
        <is>
          <t>LED TV</t>
        </is>
      </c>
      <c r="B5" s="4" t="n">
        <v>80</v>
      </c>
      <c r="C5" s="4" t="n">
        <v>5</v>
      </c>
      <c r="D5" s="5">
        <f>B5*C5/1000</f>
        <v/>
      </c>
      <c r="E5" s="5">
        <f>D5*30</f>
        <v/>
      </c>
    </row>
    <row r="6">
      <c r="A6" s="4" t="inlineStr">
        <is>
          <t>Electric oven</t>
        </is>
      </c>
      <c r="B6" s="4" t="n">
        <v>2400</v>
      </c>
      <c r="C6" s="4" t="n">
        <v>1</v>
      </c>
      <c r="D6" s="5">
        <f>B6*C6/1000</f>
        <v/>
      </c>
      <c r="E6" s="5">
        <f>D6*30</f>
        <v/>
      </c>
    </row>
    <row r="7">
      <c r="A7" s="4" t="inlineStr">
        <is>
          <t>Washing machine</t>
        </is>
      </c>
      <c r="B7" s="4" t="n">
        <v>500</v>
      </c>
      <c r="C7" s="4" t="n">
        <v>0.5</v>
      </c>
      <c r="D7" s="5">
        <f>B7*C7/1000</f>
        <v/>
      </c>
      <c r="E7" s="5">
        <f>D7*30</f>
        <v/>
      </c>
    </row>
    <row r="8">
      <c r="A8" s="4" t="inlineStr">
        <is>
          <t>Water heater</t>
        </is>
      </c>
      <c r="B8" s="4" t="n">
        <v>4000</v>
      </c>
      <c r="C8" s="4" t="n">
        <v>2</v>
      </c>
      <c r="D8" s="5">
        <f>B8*C8/1000</f>
        <v/>
      </c>
      <c r="E8" s="5">
        <f>D8*30</f>
        <v/>
      </c>
    </row>
    <row r="9">
      <c r="A9" s="4" t="inlineStr">
        <is>
          <t>Laptop</t>
        </is>
      </c>
      <c r="B9" s="4" t="n">
        <v>65</v>
      </c>
      <c r="C9" s="4" t="n">
        <v>6</v>
      </c>
      <c r="D9" s="5">
        <f>B9*C9/1000</f>
        <v/>
      </c>
      <c r="E9" s="5">
        <f>D9*30</f>
        <v/>
      </c>
    </row>
    <row r="10">
      <c r="A10" s="4" t="inlineStr">
        <is>
          <t>LED lights</t>
        </is>
      </c>
      <c r="B10" s="4" t="n">
        <v>40</v>
      </c>
      <c r="C10" s="4" t="n">
        <v>6</v>
      </c>
      <c r="D10" s="5">
        <f>B10*C10/1000</f>
        <v/>
      </c>
      <c r="E10" s="5">
        <f>D10*30</f>
        <v/>
      </c>
    </row>
    <row r="11">
      <c r="A11" s="4" t="inlineStr">
        <is>
          <t>Air conditioner</t>
        </is>
      </c>
      <c r="B11" s="4" t="n">
        <v>1500</v>
      </c>
      <c r="C11" s="4" t="n">
        <v>6</v>
      </c>
      <c r="D11" s="5">
        <f>B11*C11/1000</f>
        <v/>
      </c>
      <c r="E11" s="5">
        <f>D11*30</f>
        <v/>
      </c>
    </row>
    <row r="12">
      <c r="A12" s="4" t="inlineStr">
        <is>
          <t>Microwave</t>
        </is>
      </c>
      <c r="B12" s="4" t="n">
        <v>1000</v>
      </c>
      <c r="C12" s="4" t="n">
        <v>0.25</v>
      </c>
      <c r="D12" s="5">
        <f>B12*C12/1000</f>
        <v/>
      </c>
      <c r="E12" s="5">
        <f>D12*30</f>
        <v/>
      </c>
    </row>
    <row r="13">
      <c r="A13" s="4" t="inlineStr">
        <is>
          <t>Smartphone charger</t>
        </is>
      </c>
      <c r="B13" s="4" t="n">
        <v>10</v>
      </c>
      <c r="C13" s="4" t="n">
        <v>3</v>
      </c>
      <c r="D13" s="5">
        <f>B13*C13/1000</f>
        <v/>
      </c>
      <c r="E13" s="5">
        <f>D13*30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Electricity Cost ($0.35/kWh Hawaii)</t>
        </is>
      </c>
    </row>
    <row r="2" ht="18" customHeight="1">
      <c r="A2" s="2" t="inlineStr">
        <is>
          <t>Monthly bill</t>
        </is>
      </c>
    </row>
    <row r="3" ht="32" customHeight="1">
      <c r="A3" s="3" t="inlineStr">
        <is>
          <t>Device</t>
        </is>
      </c>
      <c r="B3" s="3" t="inlineStr">
        <is>
          <t>kWh/month</t>
        </is>
      </c>
      <c r="C3" s="3" t="inlineStr">
        <is>
          <t>Cost ($)</t>
        </is>
      </c>
    </row>
    <row r="4">
      <c r="A4" s="6">
        <f>Devices!A4</f>
        <v/>
      </c>
      <c r="B4" s="5">
        <f>Devices!E4</f>
        <v/>
      </c>
      <c r="C4" s="7">
        <f>B4*0.35</f>
        <v/>
      </c>
    </row>
    <row r="5">
      <c r="A5" s="6">
        <f>Devices!A5</f>
        <v/>
      </c>
      <c r="B5" s="5">
        <f>Devices!E5</f>
        <v/>
      </c>
      <c r="C5" s="7">
        <f>B5*0.35</f>
        <v/>
      </c>
    </row>
    <row r="6">
      <c r="A6" s="6">
        <f>Devices!A6</f>
        <v/>
      </c>
      <c r="B6" s="5">
        <f>Devices!E6</f>
        <v/>
      </c>
      <c r="C6" s="7">
        <f>B6*0.35</f>
        <v/>
      </c>
    </row>
    <row r="7">
      <c r="A7" s="6">
        <f>Devices!A7</f>
        <v/>
      </c>
      <c r="B7" s="5">
        <f>Devices!E7</f>
        <v/>
      </c>
      <c r="C7" s="7">
        <f>B7*0.35</f>
        <v/>
      </c>
    </row>
    <row r="8">
      <c r="A8" s="6">
        <f>Devices!A8</f>
        <v/>
      </c>
      <c r="B8" s="5">
        <f>Devices!E8</f>
        <v/>
      </c>
      <c r="C8" s="7">
        <f>B8*0.35</f>
        <v/>
      </c>
    </row>
    <row r="9">
      <c r="A9" s="6">
        <f>Devices!A9</f>
        <v/>
      </c>
      <c r="B9" s="5">
        <f>Devices!E9</f>
        <v/>
      </c>
      <c r="C9" s="7">
        <f>B9*0.35</f>
        <v/>
      </c>
    </row>
    <row r="10">
      <c r="A10" s="6">
        <f>Devices!A10</f>
        <v/>
      </c>
      <c r="B10" s="5">
        <f>Devices!E10</f>
        <v/>
      </c>
      <c r="C10" s="7">
        <f>B10*0.35</f>
        <v/>
      </c>
    </row>
    <row r="11">
      <c r="A11" s="6">
        <f>Devices!A11</f>
        <v/>
      </c>
      <c r="B11" s="5">
        <f>Devices!E11</f>
        <v/>
      </c>
      <c r="C11" s="7">
        <f>B11*0.35</f>
        <v/>
      </c>
    </row>
    <row r="12">
      <c r="A12" s="6">
        <f>Devices!A12</f>
        <v/>
      </c>
      <c r="B12" s="5">
        <f>Devices!E12</f>
        <v/>
      </c>
      <c r="C12" s="7">
        <f>B12*0.35</f>
        <v/>
      </c>
    </row>
    <row r="13">
      <c r="A13" s="6">
        <f>Devices!A13</f>
        <v/>
      </c>
      <c r="B13" s="5">
        <f>Devices!E13</f>
        <v/>
      </c>
      <c r="C13" s="7">
        <f>B13*0.35</f>
        <v/>
      </c>
    </row>
    <row r="14">
      <c r="A14" s="8" t="inlineStr">
        <is>
          <t>TOTAL</t>
        </is>
      </c>
      <c r="B14" s="5">
        <f>SUM(B4:B13)</f>
        <v/>
      </c>
      <c r="C14" s="7">
        <f>SUM(C4:C13)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Solar Offset</t>
        </is>
      </c>
    </row>
    <row r="2" ht="18" customHeight="1">
      <c r="A2" s="2" t="inlineStr">
        <is>
          <t>25 kWh/day panel system</t>
        </is>
      </c>
    </row>
    <row r="3" ht="32" customHeight="1">
      <c r="A3" s="3" t="inlineStr">
        <is>
          <t>Total kWh/month</t>
        </is>
      </c>
      <c r="B3" s="3" t="inlineStr">
        <is>
          <t>Solar kWh/month</t>
        </is>
      </c>
      <c r="C3" s="3" t="inlineStr">
        <is>
          <t>New Bill</t>
        </is>
      </c>
    </row>
    <row r="4">
      <c r="A4" s="5">
        <f>Cost!B14</f>
        <v/>
      </c>
      <c r="B4" s="6">
        <f>25*30</f>
        <v/>
      </c>
      <c r="C4" s="7">
        <f>MAX(0,(A4-B4))*0.35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Incandescent → LED Savings</t>
        </is>
      </c>
    </row>
    <row r="2" ht="18" customHeight="1">
      <c r="A2" s="2" t="inlineStr">
        <is>
          <t>60W vs. 10W, 6 hr/day</t>
        </is>
      </c>
    </row>
    <row r="3" ht="32" customHeight="1">
      <c r="A3" s="3" t="inlineStr">
        <is>
          <t>Bulbs</t>
        </is>
      </c>
      <c r="B3" s="3" t="inlineStr">
        <is>
          <t>Incan. kWh/mo</t>
        </is>
      </c>
      <c r="C3" s="3" t="inlineStr">
        <is>
          <t>LED kWh/mo</t>
        </is>
      </c>
      <c r="D3" s="3" t="inlineStr">
        <is>
          <t>Savings ($)</t>
        </is>
      </c>
    </row>
    <row r="4">
      <c r="A4" s="4" t="n">
        <v>1</v>
      </c>
      <c r="B4" s="9">
        <f>A4*60*6*30/1000</f>
        <v/>
      </c>
      <c r="C4" s="9">
        <f>A4*10*6*30/1000</f>
        <v/>
      </c>
      <c r="D4" s="7">
        <f>(B4-C4)*0.35</f>
        <v/>
      </c>
    </row>
    <row r="5">
      <c r="A5" s="4" t="n">
        <v>5</v>
      </c>
      <c r="B5" s="9">
        <f>A5*60*6*30/1000</f>
        <v/>
      </c>
      <c r="C5" s="9">
        <f>A5*10*6*30/1000</f>
        <v/>
      </c>
      <c r="D5" s="7">
        <f>(B5-C5)*0.35</f>
        <v/>
      </c>
    </row>
    <row r="6">
      <c r="A6" s="4" t="n">
        <v>10</v>
      </c>
      <c r="B6" s="9">
        <f>A6*60*6*30/1000</f>
        <v/>
      </c>
      <c r="C6" s="9">
        <f>A6*10*6*30/1000</f>
        <v/>
      </c>
      <c r="D6" s="7">
        <f>(B6-C6)*0.35</f>
        <v/>
      </c>
    </row>
    <row r="7">
      <c r="A7" s="4" t="n">
        <v>20</v>
      </c>
      <c r="B7" s="9">
        <f>A7*60*6*30/1000</f>
        <v/>
      </c>
      <c r="C7" s="9">
        <f>A7*10*6*30/1000</f>
        <v/>
      </c>
      <c r="D7" s="7">
        <f>(B7-C7)*0.35</f>
        <v/>
      </c>
    </row>
    <row r="8">
      <c r="A8" s="4" t="n">
        <v>50</v>
      </c>
      <c r="B8" s="9">
        <f>A8*60*6*30/1000</f>
        <v/>
      </c>
      <c r="C8" s="9">
        <f>A8*10*6*30/1000</f>
        <v/>
      </c>
      <c r="D8" s="7">
        <f>(B8-C8)*0.35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Monthly Cost by Device</t>
        </is>
      </c>
    </row>
    <row r="2" ht="18" customHeight="1">
      <c r="A2" s="2" t="inlineStr">
        <is>
          <t>Identify top consumers</t>
        </is>
      </c>
    </row>
    <row r="3" ht="32" customHeight="1">
      <c r="A3" s="3" t="inlineStr">
        <is>
          <t>Device</t>
        </is>
      </c>
      <c r="B3" s="3" t="inlineStr">
        <is>
          <t>Cost ($)</t>
        </is>
      </c>
    </row>
    <row r="4">
      <c r="A4" s="6">
        <f>Cost!A4</f>
        <v/>
      </c>
      <c r="B4" s="5">
        <f>Cost!C4</f>
        <v/>
      </c>
    </row>
    <row r="5">
      <c r="A5" s="6">
        <f>Cost!A5</f>
        <v/>
      </c>
      <c r="B5" s="5">
        <f>Cost!C5</f>
        <v/>
      </c>
    </row>
    <row r="6">
      <c r="A6" s="6">
        <f>Cost!A6</f>
        <v/>
      </c>
      <c r="B6" s="5">
        <f>Cost!C6</f>
        <v/>
      </c>
    </row>
    <row r="7">
      <c r="A7" s="6">
        <f>Cost!A7</f>
        <v/>
      </c>
      <c r="B7" s="5">
        <f>Cost!C7</f>
        <v/>
      </c>
    </row>
    <row r="8">
      <c r="A8" s="6">
        <f>Cost!A8</f>
        <v/>
      </c>
      <c r="B8" s="5">
        <f>Cost!C8</f>
        <v/>
      </c>
    </row>
    <row r="9">
      <c r="A9" s="6">
        <f>Cost!A9</f>
        <v/>
      </c>
      <c r="B9" s="5">
        <f>Cost!C9</f>
        <v/>
      </c>
    </row>
    <row r="10">
      <c r="A10" s="6">
        <f>Cost!A10</f>
        <v/>
      </c>
      <c r="B10" s="5">
        <f>Cost!C10</f>
        <v/>
      </c>
    </row>
    <row r="11">
      <c r="A11" s="6">
        <f>Cost!A11</f>
        <v/>
      </c>
      <c r="B11" s="5">
        <f>Cost!C11</f>
        <v/>
      </c>
    </row>
    <row r="12">
      <c r="A12" s="6">
        <f>Cost!A12</f>
        <v/>
      </c>
      <c r="B12" s="5">
        <f>Cost!C12</f>
        <v/>
      </c>
    </row>
    <row r="13">
      <c r="A13" s="6">
        <f>Cost!A13</f>
        <v/>
      </c>
      <c r="B13" s="5">
        <f>Cost!C13</f>
        <v/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2026-04-21T19:29:38Z</dcterms:created>
  <dcterms:modified xmlns:dcterms="http://purl.org/dc/terms/" xmlns:xsi="http://www.w3.org/2001/XMLSchema-instance" xsi:type="dcterms:W3CDTF">2026-04-21T19:29:38Z</dcterms:modified>
</cp:coreProperties>
</file>