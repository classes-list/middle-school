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Input vs. Output</a:t>
            </a:r>
          </a:p>
        </rich>
      </tx>
    </title>
    <plotArea>
      <lineChart>
        <grouping val="standard"/>
        <ser>
          <idx val="0"/>
          <order val="0"/>
          <tx>
            <strRef>
              <f>'Efficiency'!B3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'Efficiency'!$A$4:$A$14</f>
            </numRef>
          </cat>
          <val>
            <numRef>
              <f>'Efficiency'!$B$4:$B$14</f>
            </numRef>
          </val>
        </ser>
        <ser>
          <idx val="1"/>
          <order val="1"/>
          <tx>
            <strRef>
              <f>'Efficiency'!C3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'Efficiency'!$A$4:$A$14</f>
            </numRef>
          </cat>
          <val>
            <numRef>
              <f>'Efficiency'!$C$4:$C$14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Input vs. Efficiency %</a:t>
            </a:r>
          </a:p>
        </rich>
      </tx>
    </title>
    <plotArea>
      <lineChart>
        <grouping val="standard"/>
        <ser>
          <idx val="0"/>
          <order val="0"/>
          <tx>
            <strRef>
              <f>'Efficiency'!D3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'Efficiency'!$A$4:$A$14</f>
            </numRef>
          </cat>
          <val>
            <numRef>
              <f>'Efficiency'!$D$4:$D$14</f>
            </numRef>
          </val>
        </ser>
        <ser>
          <idx val="1"/>
          <order val="1"/>
          <tx>
            <strRef>
              <f>'Efficiency'!E3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'Efficiency'!$A$4:$A$14</f>
            </numRef>
          </cat>
          <val>
            <numRef>
              <f>'Efficiency'!$E$4:$E$14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Machine Efficiency Analyzer</t>
        </is>
      </c>
    </row>
    <row r="2" ht="18" customHeight="1">
      <c r="A2" s="2" t="inlineStr">
        <is>
          <t>Linear vs. nonlinear output</t>
        </is>
      </c>
    </row>
    <row r="3" ht="32" customHeight="1">
      <c r="A3" s="3" t="inlineStr">
        <is>
          <t>Input Energy (J)</t>
        </is>
      </c>
      <c r="B3" s="3" t="inlineStr">
        <is>
          <t>Linear Output</t>
        </is>
      </c>
      <c r="C3" s="3" t="inlineStr">
        <is>
          <t>Nonlinear Output</t>
        </is>
      </c>
      <c r="D3" s="3" t="inlineStr">
        <is>
          <t>Linear Eff %</t>
        </is>
      </c>
      <c r="E3" s="3" t="inlineStr">
        <is>
          <t>Nonlinear Eff %</t>
        </is>
      </c>
    </row>
    <row r="4">
      <c r="A4" s="4" t="n">
        <v>0</v>
      </c>
      <c r="B4" s="5">
        <f>0.85*A4</f>
        <v/>
      </c>
      <c r="C4" s="5">
        <f>0.85*A4-0.0001*A4^2</f>
        <v/>
      </c>
      <c r="D4" s="6">
        <f>IF(A4&gt;0,B4/A4*100,85)</f>
        <v/>
      </c>
      <c r="E4" s="6">
        <f>IF(A4&gt;0,C4/A4*100,85)</f>
        <v/>
      </c>
    </row>
    <row r="5">
      <c r="A5" s="4" t="n">
        <v>100</v>
      </c>
      <c r="B5" s="5">
        <f>0.85*A5</f>
        <v/>
      </c>
      <c r="C5" s="5">
        <f>0.85*A5-0.0001*A5^2</f>
        <v/>
      </c>
      <c r="D5" s="6">
        <f>IF(A5&gt;0,B5/A5*100,85)</f>
        <v/>
      </c>
      <c r="E5" s="6">
        <f>IF(A5&gt;0,C5/A5*100,85)</f>
        <v/>
      </c>
    </row>
    <row r="6">
      <c r="A6" s="4" t="n">
        <v>200</v>
      </c>
      <c r="B6" s="5">
        <f>0.85*A6</f>
        <v/>
      </c>
      <c r="C6" s="5">
        <f>0.85*A6-0.0001*A6^2</f>
        <v/>
      </c>
      <c r="D6" s="6">
        <f>IF(A6&gt;0,B6/A6*100,85)</f>
        <v/>
      </c>
      <c r="E6" s="6">
        <f>IF(A6&gt;0,C6/A6*100,85)</f>
        <v/>
      </c>
    </row>
    <row r="7">
      <c r="A7" s="4" t="n">
        <v>300</v>
      </c>
      <c r="B7" s="5">
        <f>0.85*A7</f>
        <v/>
      </c>
      <c r="C7" s="5">
        <f>0.85*A7-0.0001*A7^2</f>
        <v/>
      </c>
      <c r="D7" s="6">
        <f>IF(A7&gt;0,B7/A7*100,85)</f>
        <v/>
      </c>
      <c r="E7" s="6">
        <f>IF(A7&gt;0,C7/A7*100,85)</f>
        <v/>
      </c>
    </row>
    <row r="8">
      <c r="A8" s="4" t="n">
        <v>400</v>
      </c>
      <c r="B8" s="5">
        <f>0.85*A8</f>
        <v/>
      </c>
      <c r="C8" s="5">
        <f>0.85*A8-0.0001*A8^2</f>
        <v/>
      </c>
      <c r="D8" s="6">
        <f>IF(A8&gt;0,B8/A8*100,85)</f>
        <v/>
      </c>
      <c r="E8" s="6">
        <f>IF(A8&gt;0,C8/A8*100,85)</f>
        <v/>
      </c>
    </row>
    <row r="9">
      <c r="A9" s="4" t="n">
        <v>500</v>
      </c>
      <c r="B9" s="5">
        <f>0.85*A9</f>
        <v/>
      </c>
      <c r="C9" s="5">
        <f>0.85*A9-0.0001*A9^2</f>
        <v/>
      </c>
      <c r="D9" s="6">
        <f>IF(A9&gt;0,B9/A9*100,85)</f>
        <v/>
      </c>
      <c r="E9" s="6">
        <f>IF(A9&gt;0,C9/A9*100,85)</f>
        <v/>
      </c>
    </row>
    <row r="10">
      <c r="A10" s="4" t="n">
        <v>600</v>
      </c>
      <c r="B10" s="5">
        <f>0.85*A10</f>
        <v/>
      </c>
      <c r="C10" s="5">
        <f>0.85*A10-0.0001*A10^2</f>
        <v/>
      </c>
      <c r="D10" s="6">
        <f>IF(A10&gt;0,B10/A10*100,85)</f>
        <v/>
      </c>
      <c r="E10" s="6">
        <f>IF(A10&gt;0,C10/A10*100,85)</f>
        <v/>
      </c>
    </row>
    <row r="11">
      <c r="A11" s="4" t="n">
        <v>700</v>
      </c>
      <c r="B11" s="5">
        <f>0.85*A11</f>
        <v/>
      </c>
      <c r="C11" s="5">
        <f>0.85*A11-0.0001*A11^2</f>
        <v/>
      </c>
      <c r="D11" s="6">
        <f>IF(A11&gt;0,B11/A11*100,85)</f>
        <v/>
      </c>
      <c r="E11" s="6">
        <f>IF(A11&gt;0,C11/A11*100,85)</f>
        <v/>
      </c>
    </row>
    <row r="12">
      <c r="A12" s="4" t="n">
        <v>800</v>
      </c>
      <c r="B12" s="5">
        <f>0.85*A12</f>
        <v/>
      </c>
      <c r="C12" s="5">
        <f>0.85*A12-0.0001*A12^2</f>
        <v/>
      </c>
      <c r="D12" s="6">
        <f>IF(A12&gt;0,B12/A12*100,85)</f>
        <v/>
      </c>
      <c r="E12" s="6">
        <f>IF(A12&gt;0,C12/A12*100,85)</f>
        <v/>
      </c>
    </row>
    <row r="13">
      <c r="A13" s="4" t="n">
        <v>900</v>
      </c>
      <c r="B13" s="5">
        <f>0.85*A13</f>
        <v/>
      </c>
      <c r="C13" s="5">
        <f>0.85*A13-0.0001*A13^2</f>
        <v/>
      </c>
      <c r="D13" s="6">
        <f>IF(A13&gt;0,B13/A13*100,85)</f>
        <v/>
      </c>
      <c r="E13" s="6">
        <f>IF(A13&gt;0,C13/A13*100,85)</f>
        <v/>
      </c>
    </row>
    <row r="14">
      <c r="A14" s="4" t="n">
        <v>1000</v>
      </c>
      <c r="B14" s="5">
        <f>0.85*A14</f>
        <v/>
      </c>
      <c r="C14" s="5">
        <f>0.85*A14-0.0001*A14^2</f>
        <v/>
      </c>
      <c r="D14" s="6">
        <f>IF(A14&gt;0,B14/A14*100,85)</f>
        <v/>
      </c>
      <c r="E14" s="6">
        <f>IF(A14&gt;0,C14/A14*100,85)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