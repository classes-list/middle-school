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tios_Percents" sheetId="2" state="visible" r:id="rId4"/>
    <sheet name="Integers_Coords" sheetId="3" state="visible" r:id="rId5"/>
    <sheet name="Eq_Ineq" sheetId="4" state="visible" r:id="rId6"/>
    <sheet name="Area_Volume" sheetId="5" state="visible" r:id="rId7"/>
    <sheet name="Statistics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<sst xmlns="http://schemas.openxmlformats.org/spreadsheetml/2006/main" count="66" uniqueCount="66">
  <si>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Earth System Report — The Water Cycle</t>
  </si>
  <si>
    <t xml:space="preserve">Capstone: every 6th-grade math skill applied to one system</t>
  </si>
  <si>
    <t xml:space="preserve">Student:</t>
  </si>
  <si>
    <t xml:space="preserve">[Name]</t>
  </si>
  <si>
    <t xml:space="preserve">Topic:</t>
  </si>
  <si>
    <t xml:space="preserve">The Water Cycle</t>
  </si>
  <si>
    <t xml:space="preserve">Description:</t>
  </si>
  <si>
    <t xml:space="preserve">The water cycle moves ~505,000 km³ of water between ocean, atmosphere, and land each year through evaporation, condensation, precipitation, runoff, and infiltration. This report quantifies those flows.</t>
  </si>
  <si>
    <t xml:space="preserve">Ratios &amp; Percents — Water Reservoirs</t>
  </si>
  <si>
    <t xml:space="preserve">Share of Earth water by reservoir</t>
  </si>
  <si>
    <t xml:space="preserve">Reservoir</t>
  </si>
  <si>
    <t xml:space="preserve">Volume (millions km³)</t>
  </si>
  <si>
    <t xml:space="preserve">% of Total</t>
  </si>
  <si>
    <t xml:space="preserve">Oceans</t>
  </si>
  <si>
    <t xml:space="preserve">Ice caps/glaciers</t>
  </si>
  <si>
    <t xml:space="preserve">Groundwater</t>
  </si>
  <si>
    <t xml:space="preserve">Lakes/rivers</t>
  </si>
  <si>
    <t xml:space="preserve">Atmosphere</t>
  </si>
  <si>
    <t xml:space="preserve">Integers &amp; Coordinates — Elevation of Water Features</t>
  </si>
  <si>
    <t xml:space="preserve">5 plotted features</t>
  </si>
  <si>
    <t xml:space="preserve">Feature</t>
  </si>
  <si>
    <t xml:space="preserve">Longitude (x)</t>
  </si>
  <si>
    <t xml:space="preserve">Elevation (m)</t>
  </si>
  <si>
    <t xml:space="preserve">Mt. Everest snow pack</t>
  </si>
  <si>
    <t xml:space="preserve">Lake Victoria</t>
  </si>
  <si>
    <t xml:space="preserve">Mississippi River</t>
  </si>
  <si>
    <t xml:space="preserve">Dead Sea</t>
  </si>
  <si>
    <t xml:space="preserve">Mariana Trench</t>
  </si>
  <si>
    <t xml:space="preserve">Equations &amp; Inequalities</t>
  </si>
  <si>
    <t xml:space="preserve">Solve 2 equations, 1 inequality</t>
  </si>
  <si>
    <t xml:space="preserve">Equation 1: Rain fills a 200 L barrel at 8 L/hr. After how many hours h does V = 200?</t>
  </si>
  <si>
    <t xml:space="preserve">h × 8 = 200  ⇒  h =</t>
  </si>
  <si>
    <t xml:space="preserve">Equation 2: Evaporation removes 3 mm/day from a 45 mm puddle. d = ?</t>
  </si>
  <si>
    <t xml:space="preserve">d × 3 = 45  ⇒  d =</t>
  </si>
  <si>
    <t xml:space="preserve">Inequality: A reservoir is safe below 80% capacity. For capacity C = 500 ML, water W must satisfy:</t>
  </si>
  <si>
    <t xml:space="preserve">W &lt; 0.8 × 500 = </t>
  </si>
  <si>
    <t xml:space="preserve">So the inequality is W &lt; 400 ML.</t>
  </si>
  <si>
    <t xml:space="preserve">Area &amp; Volume</t>
  </si>
  <si>
    <t xml:space="preserve">Water measurements</t>
  </si>
  <si>
    <t xml:space="preserve">Description</t>
  </si>
  <si>
    <t xml:space="preserve">Dimension 1</t>
  </si>
  <si>
    <t xml:space="preserve">Dimension 2</t>
  </si>
  <si>
    <t xml:space="preserve">Result</t>
  </si>
  <si>
    <t xml:space="preserve">Rectangular catchment basin</t>
  </si>
  <si>
    <t xml:space="preserve">Cylindrical water tank (r, h in m)</t>
  </si>
  <si>
    <t xml:space="preserve">Statistics — 10 Days of Rainfall (in)</t>
  </si>
  <si>
    <t xml:space="preserve">Mean, median, mode, range + chart</t>
  </si>
  <si>
    <t xml:space="preserve">Day</t>
  </si>
  <si>
    <t xml:space="preserve">Rainfall (in)</t>
  </si>
  <si>
    <t xml:space="preserve">Mean</t>
  </si>
  <si>
    <t xml:space="preserve">Day 1</t>
  </si>
  <si>
    <t xml:space="preserve">Median</t>
  </si>
  <si>
    <t xml:space="preserve">Day 2</t>
  </si>
  <si>
    <t xml:space="preserve">Mode</t>
  </si>
  <si>
    <t xml:space="preserve">Day 3</t>
  </si>
  <si>
    <t xml:space="preserve">Range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</si>
  <si>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</si>
  <si>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</si>
  <si>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</si>
  <si>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</si>
  <si>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</si>
  <si>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</si>
  <si>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</si>
  <si>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Scientist's Summary — Water Cycle</t>
  </si>
  <si>
    <t xml:space="preserve">Paragraph using 6+ math terms and 5+ specific numbers</t>
  </si>
  <si>
    <t xml:space="preserve">The water cycle circulates approximately 505,000 km³ of water each year between reservoirs. Oceans hold ~1,332 million km³ — the largest percentage (≈96.5%) of Earth water. Rainfall in Honolulu averages 18.57 inches per year with a monthly range of ~2.82 in (max 3.08 Jan, min 0.26 Jun). In my catchment model of 500 m × 300 m, the area is 150,000 m², and a cylindrical 3-m radius × 10-m tall tank holds roughly 283 m³. Using the inequality W &lt; 0.8·C with C = 500 ML, I found reservoirs are safe when W &lt; 400 ML. My 10-day rainfall sample had a mean of 0.218 in and a median of 0.17 in — the mean exceeds the median because a single 0.62 in day pulls the average up (right-skewed distribution). Together these calculations show that the water cycle operates at every scale, from millimeter rainfall to billions of cubic kilometers.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</si>
</sst>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\%"/>
    <numFmt numFmtId="167" formatCode="\+#,##0;\-#,##0;0"/>
    <numFmt numFmtId="168" formatCode="#,##0&quot; m²&quot;"/>
    <numFmt numFmtId="169" formatCode="0.0&quot; m³&quot;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Water features: longitude vs elevation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"Features"</c:f>
              <c:strCache>
                <c:ptCount val="1"/>
                <c:pt idx="0">
                  <c:v>Features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Integers_Coords!$B$4:$B$8</c:f>
              <c:numCache>
                <c:formatCode>General</c:formatCode>
                <c:ptCount val="5"/>
                <c:pt idx="0">
                  <c:v>86.9</c:v>
                </c:pt>
                <c:pt idx="1">
                  <c:v>33</c:v>
                </c:pt>
                <c:pt idx="2">
                  <c:v>-90</c:v>
                </c:pt>
                <c:pt idx="3">
                  <c:v>35.5</c:v>
                </c:pt>
                <c:pt idx="4">
                  <c:v>144.8</c:v>
                </c:pt>
              </c:numCache>
            </c:numRef>
          </c:xVal>
          <c:yVal>
            <c:numRef>
              <c:f>Integers_Coords!$C$4:$C$8</c:f>
              <c:numCache>
                <c:formatCode>\+#,##0;\-#,##0;0</c:formatCode>
                <c:ptCount val="5"/>
                <c:pt idx="0">
                  <c:v>8849</c:v>
                </c:pt>
                <c:pt idx="1">
                  <c:v>1135</c:v>
                </c:pt>
                <c:pt idx="2">
                  <c:v>0</c:v>
                </c:pt>
                <c:pt idx="3">
                  <c:v>-430</c:v>
                </c:pt>
                <c:pt idx="4">
                  <c:v>-11034</c:v>
                </c:pt>
              </c:numCache>
            </c:numRef>
          </c:yVal>
          <c:smooth val="1"/>
        </c:ser>
        <c:axId val="48120720"/>
        <c:axId val="26481184"/>
      </c:scatterChart>
      <c:valAx>
        <c:axId val="481207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481184"/>
        <c:crosses val="autoZero"/>
        <c:crossBetween val="midCat"/>
      </c:valAx>
      <c:valAx>
        <c:axId val="26481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Elevation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;\-#,##0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2072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10-day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Statistics!B3</c:f>
              <c:strCache>
                <c:ptCount val="1"/>
                <c:pt idx="0">
                  <c:v>Rainfall (in)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Statistics!$A$4:$A$13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Statistics!$B$4:$B$13</c:f>
              <c:numCache>
                <c:formatCode>0.00</c:formatCode>
                <c:ptCount val="10"/>
                <c:pt idx="0">
                  <c:v>0.12</c:v>
                </c:pt>
                <c:pt idx="1">
                  <c:v>0</c:v>
                </c:pt>
                <c:pt idx="2">
                  <c:v>0.45</c:v>
                </c:pt>
                <c:pt idx="3">
                  <c:v>0.2</c:v>
                </c:pt>
                <c:pt idx="4">
                  <c:v>0.05</c:v>
                </c:pt>
                <c:pt idx="5">
                  <c:v>0.3</c:v>
                </c:pt>
                <c:pt idx="6">
                  <c:v>0.08</c:v>
                </c:pt>
                <c:pt idx="7">
                  <c:v>0.62</c:v>
                </c:pt>
                <c:pt idx="8">
                  <c:v>0.14</c:v>
                </c:pt>
                <c:pt idx="9">
                  <c:v>0.22</c:v>
                </c:pt>
              </c:numCache>
            </c:numRef>
          </c:val>
        </c:ser>
        <c:gapWidth val="150"/>
        <c:overlap val="0"/>
        <c:axId val="65027629"/>
        <c:axId val="85167820"/>
      </c:barChart>
      <c:catAx>
        <c:axId val="65027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67820"/>
        <c:crosses val="autoZero"/>
        <c:auto val="1"/>
        <c:lblAlgn val="ctr"/>
        <c:lblOffset val="100"/>
        <c:noMultiLvlLbl val="0"/>
      </c:catAx>
      <c:valAx>
        <c:axId val="85167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276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255600</xdr:colOff>
      <xdr:row>19</xdr:row>
      <xdr:rowOff>150840</xdr:rowOff>
    </xdr:to>
    <xdr:graphicFrame>
      <xdr:nvGraphicFramePr>
        <xdr:cNvPr id="1" name="Chart 1"/>
        <xdr:cNvGraphicFramePr/>
      </xdr:nvGraphicFramePr>
      <xdr:xfrm>
        <a:off x="4699800" y="55260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255240</xdr:colOff>
      <xdr:row>19</xdr:row>
      <xdr:rowOff>150840</xdr:rowOff>
    </xdr:to>
    <xdr:graphicFrame>
      <xdr:nvGraphicFramePr>
        <xdr:cNvPr id="2" name="Chart 1"/>
        <xdr:cNvGraphicFramePr/>
      </xdr:nvGraphicFramePr>
      <xdr:xfrm>
        <a:off x="4558680" y="55260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3" t="s">
        <v>6</v>
      </c>
    </row>
    <row r="8" customFormat="false" ht="15" hidden="false" customHeight="true" outlineLevel="0" collapsed="false">
      <c r="A8" s="5" t="s">
        <v>7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</sheetData>
  <mergeCells count="3">
    <mergeCell ref="A1:D1"/>
    <mergeCell ref="A2:D2"/>
    <mergeCell ref="A8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6" width="22"/>
    <col collapsed="false" customWidth="true" hidden="false" outlineLevel="0" max="3" min="3" style="6" width="14"/>
  </cols>
  <sheetData>
    <row r="1" customFormat="false" ht="25.5" hidden="false" customHeight="true" outlineLevel="0" collapsed="false">
      <c r="A1" s="1" t="s">
        <v>8</v>
      </c>
      <c r="B1" s="1"/>
      <c r="C1" s="1"/>
    </row>
    <row r="2" customFormat="false" ht="18" hidden="false" customHeight="true" outlineLevel="0" collapsed="false">
      <c r="A2" s="2" t="s">
        <v>9</v>
      </c>
      <c r="B2" s="2"/>
      <c r="C2" s="2"/>
    </row>
    <row r="3" customFormat="false" ht="31.5" hidden="false" customHeight="true" outlineLevel="0" collapsed="false">
      <c r="A3" s="7" t="s">
        <v>10</v>
      </c>
      <c r="B3" s="7" t="s">
        <v>11</v>
      </c>
      <c r="C3" s="7" t="s">
        <v>12</v>
      </c>
    </row>
    <row r="4" customFormat="false" ht="15" hidden="false" customHeight="false" outlineLevel="0" collapsed="false">
      <c r="A4" s="8" t="s">
        <v>13</v>
      </c>
      <c r="B4" s="9" t="n">
        <v>1332</v>
      </c>
      <c r="C4" s="10" t="n">
        <f aca="false">B4/SUM(B$4:B$8)*100</f>
        <v>96.5782163917595</v>
      </c>
    </row>
    <row r="5" customFormat="false" ht="15" hidden="false" customHeight="false" outlineLevel="0" collapsed="false">
      <c r="A5" s="8" t="s">
        <v>14</v>
      </c>
      <c r="B5" s="9" t="n">
        <v>24</v>
      </c>
      <c r="C5" s="10" t="n">
        <f aca="false">B5/SUM(B$4:B$8)*100</f>
        <v>1.74014804309477</v>
      </c>
    </row>
    <row r="6" customFormat="false" ht="15" hidden="false" customHeight="false" outlineLevel="0" collapsed="false">
      <c r="A6" s="8" t="s">
        <v>15</v>
      </c>
      <c r="B6" s="9" t="n">
        <v>23</v>
      </c>
      <c r="C6" s="10" t="n">
        <f aca="false">B6/SUM(B$4:B$8)*100</f>
        <v>1.66764187463248</v>
      </c>
    </row>
    <row r="7" customFormat="false" ht="15" hidden="false" customHeight="false" outlineLevel="0" collapsed="false">
      <c r="A7" s="8" t="s">
        <v>16</v>
      </c>
      <c r="B7" s="9" t="n">
        <v>0.18</v>
      </c>
      <c r="C7" s="10" t="n">
        <f aca="false">B7/SUM(B$4:B$8)*100</f>
        <v>0.0130511103232107</v>
      </c>
    </row>
    <row r="8" customFormat="false" ht="15" hidden="false" customHeight="false" outlineLevel="0" collapsed="false">
      <c r="A8" s="8" t="s">
        <v>17</v>
      </c>
      <c r="B8" s="9" t="n">
        <v>0.013</v>
      </c>
      <c r="C8" s="10" t="n">
        <f aca="false">B8/SUM(B$4:B$8)*100</f>
        <v>0.000942580190009665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24"/>
    <col collapsed="false" customWidth="true" hidden="false" outlineLevel="0" max="2" min="2" style="6" width="16"/>
    <col collapsed="false" customWidth="true" hidden="false" outlineLevel="0" max="3" min="3" style="6" width="18"/>
  </cols>
  <sheetData>
    <row r="1" customFormat="false" ht="25.5" hidden="false" customHeight="true" outlineLevel="0" collapsed="false">
      <c r="A1" s="1" t="s">
        <v>18</v>
      </c>
      <c r="B1" s="1"/>
      <c r="C1" s="1"/>
    </row>
    <row r="2" customFormat="false" ht="18" hidden="false" customHeight="true" outlineLevel="0" collapsed="false">
      <c r="A2" s="2" t="s">
        <v>19</v>
      </c>
      <c r="B2" s="2"/>
      <c r="C2" s="2"/>
    </row>
    <row r="3" customFormat="false" ht="31.5" hidden="false" customHeight="true" outlineLevel="0" collapsed="false">
      <c r="A3" s="7" t="s">
        <v>20</v>
      </c>
      <c r="B3" s="7" t="s">
        <v>21</v>
      </c>
      <c r="C3" s="7" t="s">
        <v>22</v>
      </c>
    </row>
    <row r="4" customFormat="false" ht="15" hidden="false" customHeight="false" outlineLevel="0" collapsed="false">
      <c r="A4" s="8" t="s">
        <v>23</v>
      </c>
      <c r="B4" s="11" t="n">
        <v>86.9</v>
      </c>
      <c r="C4" s="12" t="n">
        <v>8849</v>
      </c>
    </row>
    <row r="5" customFormat="false" ht="15" hidden="false" customHeight="false" outlineLevel="0" collapsed="false">
      <c r="A5" s="8" t="s">
        <v>24</v>
      </c>
      <c r="B5" s="11" t="n">
        <v>33</v>
      </c>
      <c r="C5" s="12" t="n">
        <v>1135</v>
      </c>
    </row>
    <row r="6" customFormat="false" ht="15" hidden="false" customHeight="false" outlineLevel="0" collapsed="false">
      <c r="A6" s="8" t="s">
        <v>25</v>
      </c>
      <c r="B6" s="11" t="n">
        <v>-90</v>
      </c>
      <c r="C6" s="12" t="n">
        <v>0</v>
      </c>
    </row>
    <row r="7" customFormat="false" ht="15" hidden="false" customHeight="false" outlineLevel="0" collapsed="false">
      <c r="A7" s="8" t="s">
        <v>26</v>
      </c>
      <c r="B7" s="11" t="n">
        <v>35.5</v>
      </c>
      <c r="C7" s="12" t="n">
        <v>-430</v>
      </c>
    </row>
    <row r="8" customFormat="false" ht="15" hidden="false" customHeight="false" outlineLevel="0" collapsed="false">
      <c r="A8" s="8" t="s">
        <v>27</v>
      </c>
      <c r="B8" s="11" t="n">
        <v>144.8</v>
      </c>
      <c r="C8" s="12" t="n">
        <v>-11034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80"/>
    <col collapsed="false" customWidth="true" hidden="false" outlineLevel="0" max="2" min="2" style="6" width="18"/>
  </cols>
  <sheetData>
    <row r="1" customFormat="false" ht="25.5" hidden="false" customHeight="true" outlineLevel="0" collapsed="false">
      <c r="A1" s="1" t="s">
        <v>28</v>
      </c>
      <c r="B1" s="1"/>
      <c r="C1" s="1"/>
    </row>
    <row r="2" customFormat="false" ht="18" hidden="false" customHeight="true" outlineLevel="0" collapsed="false">
      <c r="A2" s="2" t="s">
        <v>29</v>
      </c>
      <c r="B2" s="2"/>
      <c r="C2" s="2"/>
    </row>
    <row r="4" customFormat="false" ht="15" hidden="false" customHeight="false" outlineLevel="0" collapsed="false">
      <c r="A4" s="3" t="s">
        <v>30</v>
      </c>
    </row>
    <row r="5" customFormat="false" ht="15" hidden="false" customHeight="false" outlineLevel="0" collapsed="false">
      <c r="A5" s="6" t="s">
        <v>31</v>
      </c>
      <c r="B5" s="13" t="n">
        <f aca="false">200/8</f>
        <v>25</v>
      </c>
    </row>
    <row r="7" customFormat="false" ht="15" hidden="false" customHeight="false" outlineLevel="0" collapsed="false">
      <c r="A7" s="3" t="s">
        <v>32</v>
      </c>
    </row>
    <row r="8" customFormat="false" ht="15" hidden="false" customHeight="false" outlineLevel="0" collapsed="false">
      <c r="A8" s="6" t="s">
        <v>33</v>
      </c>
      <c r="B8" s="13" t="n">
        <f aca="false">45/3</f>
        <v>15</v>
      </c>
    </row>
    <row r="10" customFormat="false" ht="15" hidden="false" customHeight="false" outlineLevel="0" collapsed="false">
      <c r="A10" s="3" t="s">
        <v>34</v>
      </c>
    </row>
    <row r="11" customFormat="false" ht="15" hidden="false" customHeight="false" outlineLevel="0" collapsed="false">
      <c r="A11" s="6" t="s">
        <v>35</v>
      </c>
      <c r="B11" s="13" t="n">
        <f aca="false">0.8*500</f>
        <v>400</v>
      </c>
    </row>
    <row r="12" customFormat="false" ht="15" hidden="false" customHeight="false" outlineLevel="0" collapsed="false">
      <c r="A12" s="6" t="s">
        <v>36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36"/>
    <col collapsed="false" customWidth="true" hidden="false" outlineLevel="0" max="3" min="2" style="6" width="14"/>
    <col collapsed="false" customWidth="true" hidden="false" outlineLevel="0" max="4" min="4" style="6" width="18"/>
  </cols>
  <sheetData>
    <row r="1" customFormat="false" ht="25.5" hidden="false" customHeight="true" outlineLevel="0" collapsed="false">
      <c r="A1" s="1" t="s">
        <v>37</v>
      </c>
      <c r="B1" s="1"/>
      <c r="C1" s="1"/>
      <c r="D1" s="1"/>
    </row>
    <row r="2" customFormat="false" ht="18" hidden="false" customHeight="true" outlineLevel="0" collapsed="false">
      <c r="A2" s="2" t="s">
        <v>38</v>
      </c>
      <c r="B2" s="2"/>
      <c r="C2" s="2"/>
      <c r="D2" s="2"/>
    </row>
    <row r="3" customFormat="false" ht="31.5" hidden="false" customHeight="true" outlineLevel="0" collapsed="false">
      <c r="A3" s="7" t="s">
        <v>39</v>
      </c>
      <c r="B3" s="7" t="s">
        <v>40</v>
      </c>
      <c r="C3" s="7" t="s">
        <v>41</v>
      </c>
      <c r="D3" s="7" t="s">
        <v>42</v>
      </c>
    </row>
    <row r="4" customFormat="false" ht="15" hidden="false" customHeight="false" outlineLevel="0" collapsed="false">
      <c r="A4" s="14" t="s">
        <v>43</v>
      </c>
      <c r="B4" s="11" t="n">
        <v>500</v>
      </c>
      <c r="C4" s="11" t="n">
        <v>300</v>
      </c>
      <c r="D4" s="15" t="n">
        <f aca="false">B4*C4</f>
        <v>150000</v>
      </c>
    </row>
    <row r="5" customFormat="false" ht="15" hidden="false" customHeight="false" outlineLevel="0" collapsed="false">
      <c r="A5" s="14" t="s">
        <v>44</v>
      </c>
      <c r="B5" s="11" t="n">
        <v>3</v>
      </c>
      <c r="C5" s="11" t="n">
        <v>10</v>
      </c>
      <c r="D5" s="16" t="n">
        <f aca="false">PI()*B5^2*C5</f>
        <v>282.743338823081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6" width="10"/>
    <col collapsed="false" customWidth="true" hidden="false" outlineLevel="0" max="2" min="2" style="6" width="14"/>
    <col collapsed="false" customWidth="true" hidden="false" outlineLevel="0" max="3" min="3" style="6" width="6"/>
    <col collapsed="false" customWidth="true" hidden="false" outlineLevel="0" max="4" min="4" style="6" width="12"/>
    <col collapsed="false" customWidth="true" hidden="false" outlineLevel="0" max="5" min="5" style="6" width="14"/>
  </cols>
  <sheetData>
    <row r="1" customFormat="false" ht="25.5" hidden="false" customHeight="true" outlineLevel="0" collapsed="false">
      <c r="A1" s="1" t="s">
        <v>45</v>
      </c>
      <c r="B1" s="1"/>
    </row>
    <row r="2" customFormat="false" ht="18" hidden="false" customHeight="true" outlineLevel="0" collapsed="false">
      <c r="A2" s="2" t="s">
        <v>46</v>
      </c>
      <c r="B2" s="2"/>
    </row>
    <row r="3" customFormat="false" ht="31.5" hidden="false" customHeight="true" outlineLevel="0" collapsed="false">
      <c r="A3" s="7" t="s">
        <v>47</v>
      </c>
      <c r="B3" s="7" t="s">
        <v>48</v>
      </c>
      <c r="D3" s="3" t="s">
        <v>49</v>
      </c>
      <c r="E3" s="17" t="n">
        <f aca="false">AVERAGE(B4:B13)</f>
        <v>0.218</v>
      </c>
    </row>
    <row r="4" customFormat="false" ht="15" hidden="false" customHeight="false" outlineLevel="0" collapsed="false">
      <c r="A4" s="8" t="s">
        <v>50</v>
      </c>
      <c r="B4" s="18" t="n">
        <v>0.12</v>
      </c>
      <c r="D4" s="3" t="s">
        <v>51</v>
      </c>
      <c r="E4" s="17" t="n">
        <f aca="false">MEDIAN(B4:B13)</f>
        <v>0.17</v>
      </c>
    </row>
    <row r="5" customFormat="false" ht="15" hidden="false" customHeight="false" outlineLevel="0" collapsed="false">
      <c r="A5" s="8" t="s">
        <v>52</v>
      </c>
      <c r="B5" s="18" t="n">
        <v>0</v>
      </c>
      <c r="D5" s="3" t="s">
        <v>53</v>
      </c>
      <c r="E5" s="13" t="str">
        <f aca="false">IFERROR(MODE(B4:B13),"n/a")</f>
        <v>n/a</v>
      </c>
    </row>
    <row r="6" customFormat="false" ht="15" hidden="false" customHeight="false" outlineLevel="0" collapsed="false">
      <c r="A6" s="8" t="s">
        <v>54</v>
      </c>
      <c r="B6" s="18" t="n">
        <v>0.45</v>
      </c>
      <c r="D6" s="3" t="s">
        <v>55</v>
      </c>
      <c r="E6" s="17" t="n">
        <f aca="false">MAX(B4:B13)-MIN(B4:B13)</f>
        <v>0.62</v>
      </c>
    </row>
    <row r="7" customFormat="false" ht="15" hidden="false" customHeight="false" outlineLevel="0" collapsed="false">
      <c r="A7" s="8" t="s">
        <v>56</v>
      </c>
      <c r="B7" s="18" t="n">
        <v>0.2</v>
      </c>
    </row>
    <row r="8" customFormat="false" ht="15" hidden="false" customHeight="false" outlineLevel="0" collapsed="false">
      <c r="A8" s="8" t="s">
        <v>57</v>
      </c>
      <c r="B8" s="18" t="n">
        <v>0.05</v>
      </c>
    </row>
    <row r="9" customFormat="false" ht="15" hidden="false" customHeight="false" outlineLevel="0" collapsed="false">
      <c r="A9" s="8" t="s">
        <v>58</v>
      </c>
      <c r="B9" s="18" t="n">
        <v>0.3</v>
      </c>
    </row>
    <row r="10" customFormat="false" ht="15" hidden="false" customHeight="false" outlineLevel="0" collapsed="false">
      <c r="A10" s="8" t="s">
        <v>59</v>
      </c>
      <c r="B10" s="18" t="n">
        <v>0.08</v>
      </c>
    </row>
    <row r="11" customFormat="false" ht="15" hidden="false" customHeight="false" outlineLevel="0" collapsed="false">
      <c r="A11" s="8" t="s">
        <v>60</v>
      </c>
      <c r="B11" s="18" t="n">
        <v>0.62</v>
      </c>
    </row>
    <row r="12" customFormat="false" ht="15" hidden="false" customHeight="false" outlineLevel="0" collapsed="false">
      <c r="A12" s="8" t="s">
        <v>61</v>
      </c>
      <c r="B12" s="18" t="n">
        <v>0.14</v>
      </c>
    </row>
    <row r="13" customFormat="false" ht="15" hidden="false" customHeight="false" outlineLevel="0" collapsed="false">
      <c r="A13" s="8" t="s">
        <v>62</v>
      </c>
      <c r="B13" s="18" t="n">
        <v>0.22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6" width="16"/>
  </cols>
  <sheetData>
    <row r="1" customFormat="false" ht="25.5" hidden="false" customHeight="true" outlineLevel="0" collapsed="false">
      <c r="A1" s="1" t="s">
        <v>63</v>
      </c>
      <c r="B1" s="1"/>
      <c r="C1" s="1"/>
      <c r="D1" s="1"/>
    </row>
    <row r="2" customFormat="false" ht="18" hidden="false" customHeight="true" outlineLevel="0" collapsed="false">
      <c r="A2" s="2" t="s">
        <v>64</v>
      </c>
      <c r="B2" s="2"/>
      <c r="C2" s="2"/>
      <c r="D2" s="2"/>
    </row>
    <row r="4" customFormat="false" ht="15" hidden="false" customHeight="true" outlineLevel="0" collapsed="false">
      <c r="A4" s="5" t="s">
        <v>65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</row>
  </sheetData>
  <mergeCells count="3">
    <mergeCell ref="A1:D1"/>
    <mergeCell ref="A2:D2"/>
    <mergeCell ref="A4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2026-04-21T18:54:20Z</dcterms:created>
  <dc:creator>openpyxl</dc:creator>
  <dc:description/>
  <dc:language>en-US</dc:language>
  <cp:lastModifiedBy/>
  <dcterms:modified xsi:type="dcterms:W3CDTF">2026-04-21T19:02:00Z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