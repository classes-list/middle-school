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 Exponents" sheetId="1" state="visible" r:id="rId1"/>
    <sheet xmlns:r="http://schemas.openxmlformats.org/officeDocument/2006/relationships" name="Organism Sizes" sheetId="2" state="visible" r:id="rId2"/>
    <sheet xmlns:r="http://schemas.openxmlformats.org/officeDocument/2006/relationships" name="Operations" sheetId="3" state="visible" r:id="rId3"/>
    <sheet xmlns:r="http://schemas.openxmlformats.org/officeDocument/2006/relationships" name="Scale Conver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1" fontId="4" fillId="0" borderId="0" applyAlignment="1" pivotButton="0" quotePrefix="0" xfId="0">
      <alignment horizontal="center"/>
    </xf>
    <xf numFmtId="11" fontId="5" fillId="0" borderId="0" applyAlignment="1" pivotButton="0" quotePrefix="0" xfId="0">
      <alignment horizontal="center"/>
    </xf>
    <xf numFmtId="0" fontId="4" fillId="0" borderId="0" pivotButton="0" quotePrefix="0" xfId="0"/>
    <xf numFmtId="11" fontId="4" fillId="0" borderId="0" pivotButton="0" quotePrefix="0" xfId="0"/>
    <xf numFmtId="1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</cols>
  <sheetData>
    <row r="1" ht="26" customHeight="1">
      <c r="A1" s="1" t="inlineStr">
        <is>
          <t>Negative Exponent Reference</t>
        </is>
      </c>
    </row>
    <row r="2" ht="18" customHeight="1">
      <c r="A2" s="2" t="inlineStr">
        <is>
          <t>10⁻¹ to 10⁻¹⁰</t>
        </is>
      </c>
    </row>
    <row r="3" ht="32" customHeight="1">
      <c r="A3" s="3" t="inlineStr">
        <is>
          <t>Exponent</t>
        </is>
      </c>
      <c r="B3" s="3" t="inlineStr">
        <is>
          <t>Power of 10</t>
        </is>
      </c>
      <c r="C3" s="3" t="inlineStr">
        <is>
          <t>Decimal form</t>
        </is>
      </c>
    </row>
    <row r="4">
      <c r="A4" s="4" t="n">
        <v>-1</v>
      </c>
      <c r="B4" s="5">
        <f>10^A4</f>
        <v/>
      </c>
      <c r="C4" s="6">
        <f>TEXT(10^A4,"0.0000000000")</f>
        <v/>
      </c>
    </row>
    <row r="5">
      <c r="A5" s="4" t="n">
        <v>-2</v>
      </c>
      <c r="B5" s="5">
        <f>10^A5</f>
        <v/>
      </c>
      <c r="C5" s="6">
        <f>TEXT(10^A5,"0.0000000000")</f>
        <v/>
      </c>
    </row>
    <row r="6">
      <c r="A6" s="4" t="n">
        <v>-3</v>
      </c>
      <c r="B6" s="5">
        <f>10^A6</f>
        <v/>
      </c>
      <c r="C6" s="6">
        <f>TEXT(10^A6,"0.0000000000")</f>
        <v/>
      </c>
    </row>
    <row r="7">
      <c r="A7" s="4" t="n">
        <v>-4</v>
      </c>
      <c r="B7" s="5">
        <f>10^A7</f>
        <v/>
      </c>
      <c r="C7" s="6">
        <f>TEXT(10^A7,"0.0000000000")</f>
        <v/>
      </c>
    </row>
    <row r="8">
      <c r="A8" s="4" t="n">
        <v>-5</v>
      </c>
      <c r="B8" s="5">
        <f>10^A8</f>
        <v/>
      </c>
      <c r="C8" s="6">
        <f>TEXT(10^A8,"0.0000000000")</f>
        <v/>
      </c>
    </row>
    <row r="9">
      <c r="A9" s="4" t="n">
        <v>-6</v>
      </c>
      <c r="B9" s="5">
        <f>10^A9</f>
        <v/>
      </c>
      <c r="C9" s="6">
        <f>TEXT(10^A9,"0.0000000000")</f>
        <v/>
      </c>
    </row>
    <row r="10">
      <c r="A10" s="4" t="n">
        <v>-7</v>
      </c>
      <c r="B10" s="5">
        <f>10^A10</f>
        <v/>
      </c>
      <c r="C10" s="6">
        <f>TEXT(10^A10,"0.0000000000")</f>
        <v/>
      </c>
    </row>
    <row r="11">
      <c r="A11" s="4" t="n">
        <v>-8</v>
      </c>
      <c r="B11" s="5">
        <f>10^A11</f>
        <v/>
      </c>
      <c r="C11" s="6">
        <f>TEXT(10^A11,"0.0000000000")</f>
        <v/>
      </c>
    </row>
    <row r="12">
      <c r="A12" s="4" t="n">
        <v>-9</v>
      </c>
      <c r="B12" s="5">
        <f>10^A12</f>
        <v/>
      </c>
      <c r="C12" s="6">
        <f>TEXT(10^A12,"0.0000000000")</f>
        <v/>
      </c>
    </row>
    <row r="13">
      <c r="A13" s="4" t="n">
        <v>-10</v>
      </c>
      <c r="B13" s="5">
        <f>10^A13</f>
        <v/>
      </c>
      <c r="C13" s="6">
        <f>TEXT(10^A13,"0.0000000000")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2" customWidth="1" min="4" max="4"/>
    <col width="22" customWidth="1" min="5" max="5"/>
  </cols>
  <sheetData>
    <row r="1" ht="26" customHeight="1">
      <c r="A1" s="1" t="inlineStr">
        <is>
          <t>Organism Size Comparator</t>
        </is>
      </c>
    </row>
    <row r="2" ht="18" customHeight="1">
      <c r="A2" s="2" t="inlineStr">
        <is>
          <t>Scientific notation of microscopic world</t>
        </is>
      </c>
    </row>
    <row r="3" ht="32" customHeight="1">
      <c r="A3" s="3" t="inlineStr">
        <is>
          <t>Object</t>
        </is>
      </c>
      <c r="B3" s="3" t="inlineStr">
        <is>
          <t>Size (m)</t>
        </is>
      </c>
      <c r="C3" s="3" t="inlineStr">
        <is>
          <t>Scientific Notation</t>
        </is>
      </c>
      <c r="D3" s="3" t="inlineStr">
        <is>
          <t>Exponent</t>
        </is>
      </c>
      <c r="E3" s="3" t="inlineStr">
        <is>
          <t>Ratio to Red Blood Cell</t>
        </is>
      </c>
    </row>
    <row r="4">
      <c r="A4" s="4" t="inlineStr">
        <is>
          <t>Hydrogen Atom</t>
        </is>
      </c>
      <c r="B4" s="7" t="n">
        <v>1.06e-10</v>
      </c>
      <c r="C4" s="6">
        <f>TEXT(B4,"0.00E+00")</f>
        <v/>
      </c>
      <c r="D4" s="6">
        <f>INT(LOG10(B4))</f>
        <v/>
      </c>
      <c r="E4" s="8">
        <f>B4/B9</f>
        <v/>
      </c>
    </row>
    <row r="5">
      <c r="A5" s="4" t="inlineStr">
        <is>
          <t>Water Molecule</t>
        </is>
      </c>
      <c r="B5" s="7" t="n">
        <v>2.75e-10</v>
      </c>
      <c r="C5" s="6">
        <f>TEXT(B5,"0.00E+00")</f>
        <v/>
      </c>
      <c r="D5" s="6">
        <f>INT(LOG10(B5))</f>
        <v/>
      </c>
      <c r="E5" s="8">
        <f>B5/B9</f>
        <v/>
      </c>
    </row>
    <row r="6">
      <c r="A6" s="4" t="inlineStr">
        <is>
          <t>DNA Width</t>
        </is>
      </c>
      <c r="B6" s="7" t="n">
        <v>2e-09</v>
      </c>
      <c r="C6" s="6">
        <f>TEXT(B6,"0.00E+00")</f>
        <v/>
      </c>
      <c r="D6" s="6">
        <f>INT(LOG10(B6))</f>
        <v/>
      </c>
      <c r="E6" s="8">
        <f>B6/B9</f>
        <v/>
      </c>
    </row>
    <row r="7">
      <c r="A7" s="4" t="inlineStr">
        <is>
          <t>Ribosome</t>
        </is>
      </c>
      <c r="B7" s="7" t="n">
        <v>3e-08</v>
      </c>
      <c r="C7" s="6">
        <f>TEXT(B7,"0.00E+00")</f>
        <v/>
      </c>
      <c r="D7" s="6">
        <f>INT(LOG10(B7))</f>
        <v/>
      </c>
      <c r="E7" s="8">
        <f>B7/B9</f>
        <v/>
      </c>
    </row>
    <row r="8">
      <c r="A8" s="4" t="inlineStr">
        <is>
          <t>Influenza Virus</t>
        </is>
      </c>
      <c r="B8" s="7" t="n">
        <v>1e-07</v>
      </c>
      <c r="C8" s="6">
        <f>TEXT(B8,"0.00E+00")</f>
        <v/>
      </c>
      <c r="D8" s="6">
        <f>INT(LOG10(B8))</f>
        <v/>
      </c>
      <c r="E8" s="8">
        <f>B8/B9</f>
        <v/>
      </c>
    </row>
    <row r="9">
      <c r="A9" s="4" t="inlineStr">
        <is>
          <t>Red Blood Cell</t>
        </is>
      </c>
      <c r="B9" s="7" t="n">
        <v>8e-06</v>
      </c>
      <c r="C9" s="6">
        <f>TEXT(B9,"0.00E+00")</f>
        <v/>
      </c>
      <c r="D9" s="6">
        <f>INT(LOG10(B9))</f>
        <v/>
      </c>
      <c r="E9" s="8">
        <f>B9/B9</f>
        <v/>
      </c>
    </row>
    <row r="10">
      <c r="A10" s="4" t="inlineStr">
        <is>
          <t>White Blood Cell</t>
        </is>
      </c>
      <c r="B10" s="7" t="n">
        <v>1.5e-05</v>
      </c>
      <c r="C10" s="6">
        <f>TEXT(B10,"0.00E+00")</f>
        <v/>
      </c>
      <c r="D10" s="6">
        <f>INT(LOG10(B10))</f>
        <v/>
      </c>
      <c r="E10" s="8">
        <f>B10/B9</f>
        <v/>
      </c>
    </row>
    <row r="11">
      <c r="A11" s="4" t="inlineStr">
        <is>
          <t>Human Hair</t>
        </is>
      </c>
      <c r="B11" s="7" t="n">
        <v>0.0001</v>
      </c>
      <c r="C11" s="6">
        <f>TEXT(B11,"0.00E+00")</f>
        <v/>
      </c>
      <c r="D11" s="6">
        <f>INT(LOG10(B11))</f>
        <v/>
      </c>
      <c r="E11" s="8">
        <f>B11/B9</f>
        <v/>
      </c>
    </row>
    <row r="12">
      <c r="A12" s="4" t="inlineStr">
        <is>
          <t>Grain of Sand</t>
        </is>
      </c>
      <c r="B12" s="7" t="n">
        <v>0.0005</v>
      </c>
      <c r="C12" s="6">
        <f>TEXT(B12,"0.00E+00")</f>
        <v/>
      </c>
      <c r="D12" s="6">
        <f>INT(LOG10(B12))</f>
        <v/>
      </c>
      <c r="E12" s="8">
        <f>B12/B9</f>
        <v/>
      </c>
    </row>
    <row r="13">
      <c r="A13" s="4" t="inlineStr">
        <is>
          <t>Flea</t>
        </is>
      </c>
      <c r="B13" s="7" t="n">
        <v>0.002</v>
      </c>
      <c r="C13" s="6">
        <f>TEXT(B13,"0.00E+00")</f>
        <v/>
      </c>
      <c r="D13" s="6">
        <f>INT(LOG10(B13))</f>
        <v/>
      </c>
      <c r="E13" s="8">
        <f>B13/B9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2" customWidth="1" min="4" max="4"/>
    <col width="16" customWidth="1" min="5" max="5"/>
  </cols>
  <sheetData>
    <row r="1" ht="26" customHeight="1">
      <c r="A1" s="1" t="inlineStr">
        <is>
          <t>Sci Notation Operations</t>
        </is>
      </c>
    </row>
    <row r="2" ht="18" customHeight="1">
      <c r="A2" s="2" t="inlineStr">
        <is>
          <t>Multiplication and division</t>
        </is>
      </c>
    </row>
    <row r="3" ht="32" customHeight="1">
      <c r="A3" s="3" t="inlineStr">
        <is>
          <t>Scenario</t>
        </is>
      </c>
      <c r="B3" s="3" t="inlineStr">
        <is>
          <t>Number 1</t>
        </is>
      </c>
      <c r="C3" s="3" t="inlineStr">
        <is>
          <t>Number 2</t>
        </is>
      </c>
      <c r="D3" s="3" t="inlineStr">
        <is>
          <t>Operation</t>
        </is>
      </c>
      <c r="E3" s="3" t="inlineStr">
        <is>
          <t>Result</t>
        </is>
      </c>
    </row>
    <row r="4">
      <c r="A4" s="9" t="inlineStr">
        <is>
          <t>Total atoms in DNA strand</t>
        </is>
      </c>
      <c r="B4" s="10" t="n">
        <v>1000000000</v>
      </c>
      <c r="C4" s="10" t="n">
        <v>6.022e+23</v>
      </c>
      <c r="D4" s="9" t="inlineStr">
        <is>
          <t>*</t>
        </is>
      </c>
      <c r="E4" s="11">
        <f>B4*C4</f>
        <v/>
      </c>
    </row>
    <row r="5">
      <c r="A5" s="9" t="inlineStr">
        <is>
          <t>Virus vs. Bacteria size</t>
        </is>
      </c>
      <c r="B5" s="10" t="n">
        <v>1e-07</v>
      </c>
      <c r="C5" s="10" t="n">
        <v>2e-06</v>
      </c>
      <c r="D5" s="9" t="inlineStr">
        <is>
          <t>/</t>
        </is>
      </c>
      <c r="E5" s="11">
        <f>B5/C5</f>
        <v/>
      </c>
    </row>
    <row r="6">
      <c r="A6" s="9" t="inlineStr">
        <is>
          <t>Water molecule volume</t>
        </is>
      </c>
      <c r="B6" s="10" t="n">
        <v>2.75e-10</v>
      </c>
      <c r="C6" s="10" t="n">
        <v>3</v>
      </c>
      <c r="D6" s="9" t="inlineStr">
        <is>
          <t>*</t>
        </is>
      </c>
      <c r="E6" s="11">
        <f>B6*C6</f>
        <v/>
      </c>
    </row>
    <row r="7">
      <c r="A7" s="9" t="inlineStr">
        <is>
          <t>Particles per mL</t>
        </is>
      </c>
      <c r="B7" s="10" t="n">
        <v>6.022e+23</v>
      </c>
      <c r="C7" s="10" t="n">
        <v>0.001</v>
      </c>
      <c r="D7" s="9" t="inlineStr">
        <is>
          <t>*</t>
        </is>
      </c>
      <c r="E7" s="11">
        <f>B7*C7</f>
        <v/>
      </c>
    </row>
    <row r="8">
      <c r="A8" s="9" t="inlineStr">
        <is>
          <t>Atoms in a grain of sand</t>
        </is>
      </c>
      <c r="B8" s="10" t="n">
        <v>1e+19</v>
      </c>
      <c r="C8" s="10" t="n">
        <v>1000000000</v>
      </c>
      <c r="D8" s="9" t="inlineStr">
        <is>
          <t>/</t>
        </is>
      </c>
      <c r="E8" s="11">
        <f>B8/C8</f>
        <v/>
      </c>
    </row>
    <row r="9">
      <c r="A9" s="9" t="inlineStr">
        <is>
          <t>Cells in human body</t>
        </is>
      </c>
      <c r="B9" s="10" t="n">
        <v>37000000000000</v>
      </c>
      <c r="C9" s="10" t="n">
        <v>1</v>
      </c>
      <c r="D9" s="9" t="inlineStr">
        <is>
          <t>*</t>
        </is>
      </c>
      <c r="E9" s="11">
        <f>B9*C9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Converting Between Scales</t>
        </is>
      </c>
    </row>
    <row r="2" ht="18" customHeight="1">
      <c r="A2" s="2" t="inlineStr">
        <is>
          <t>meters → mm → µm → nm</t>
        </is>
      </c>
    </row>
    <row r="3" ht="32" customHeight="1">
      <c r="A3" s="3" t="inlineStr">
        <is>
          <t>Object</t>
        </is>
      </c>
      <c r="B3" s="3" t="inlineStr">
        <is>
          <t>Size (m)</t>
        </is>
      </c>
      <c r="C3" s="3" t="inlineStr">
        <is>
          <t>Size (mm)</t>
        </is>
      </c>
      <c r="D3" s="3" t="inlineStr">
        <is>
          <t>Size (µm)</t>
        </is>
      </c>
      <c r="E3" s="3" t="inlineStr">
        <is>
          <t>Size (nm)</t>
        </is>
      </c>
    </row>
    <row r="4">
      <c r="A4" s="9" t="inlineStr">
        <is>
          <t>Red Blood Cell</t>
        </is>
      </c>
      <c r="B4" s="10" t="n">
        <v>8e-06</v>
      </c>
      <c r="C4" s="11">
        <f>B4*1000</f>
        <v/>
      </c>
      <c r="D4" s="11">
        <f>B4*1000000</f>
        <v/>
      </c>
      <c r="E4" s="11">
        <f>B4*1000000000</f>
        <v/>
      </c>
    </row>
    <row r="5">
      <c r="A5" s="9" t="inlineStr">
        <is>
          <t>Virus</t>
        </is>
      </c>
      <c r="B5" s="10" t="n">
        <v>1e-07</v>
      </c>
      <c r="C5" s="11">
        <f>B5*1000</f>
        <v/>
      </c>
      <c r="D5" s="11">
        <f>B5*1000000</f>
        <v/>
      </c>
      <c r="E5" s="11">
        <f>B5*1000000000</f>
        <v/>
      </c>
    </row>
    <row r="6">
      <c r="A6" s="9" t="inlineStr">
        <is>
          <t>DNA Width</t>
        </is>
      </c>
      <c r="B6" s="10" t="n">
        <v>2e-09</v>
      </c>
      <c r="C6" s="11">
        <f>B6*1000</f>
        <v/>
      </c>
      <c r="D6" s="11">
        <f>B6*1000000</f>
        <v/>
      </c>
      <c r="E6" s="11">
        <f>B6*1000000000</f>
        <v/>
      </c>
    </row>
    <row r="7">
      <c r="A7" s="9" t="inlineStr">
        <is>
          <t>Atom</t>
        </is>
      </c>
      <c r="B7" s="10" t="n">
        <v>1e-10</v>
      </c>
      <c r="C7" s="11">
        <f>B7*1000</f>
        <v/>
      </c>
      <c r="D7" s="11">
        <f>B7*1000000</f>
        <v/>
      </c>
      <c r="E7" s="11">
        <f>B7*1000000000</f>
        <v/>
      </c>
    </row>
    <row r="8">
      <c r="A8" s="9" t="inlineStr">
        <is>
          <t>Bacterium</t>
        </is>
      </c>
      <c r="B8" s="10" t="n">
        <v>2e-06</v>
      </c>
      <c r="C8" s="11">
        <f>B8*1000</f>
        <v/>
      </c>
      <c r="D8" s="11">
        <f>B8*1000000</f>
        <v/>
      </c>
      <c r="E8" s="11">
        <f>B8*1000000000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2026-04-21T19:17:33Z</dcterms:created>
  <dcterms:modified xmlns:dcterms="http://purl.org/dc/terms/" xmlns:xsi="http://www.w3.org/2001/XMLSchema-instance" xsi:type="dcterms:W3CDTF">2026-04-21T19:17:33Z</dcterms:modified>
</cp:coreProperties>
</file>