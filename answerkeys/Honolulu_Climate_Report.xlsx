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Statistics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<sst xmlns="http://schemas.openxmlformats.org/spreadsheetml/2006/main" count="34" uniqueCount="34">
  <si>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Honolulu Monthly Climate — Raw Data</t>
  </si>
  <si>
    <t xml:space="preserve">12 months: rainfall, avg high, avg low</t>
  </si>
  <si>
    <t xml:space="preserve">Month</t>
  </si>
  <si>
    <t xml:space="preserve">Avg Rainfall (in)</t>
  </si>
  <si>
    <t xml:space="preserve">Avg High (°F)</t>
  </si>
  <si>
    <t xml:space="preserve">Avg Low (°F)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</si>
  <si>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</si>
  <si>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</si>
  <si>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</si>
  <si>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</si>
  <si>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</si>
  <si>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</si>
  <si>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</si>
  <si>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</si>
  <si>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</si>
  <si>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</si>
  <si>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</si>
  <si>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</si>
  <si>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Honolulu Climate Statistics</t>
  </si>
  <si>
    <t xml:space="preserve">Mean, median, mode, range</t>
  </si>
  <si>
    <t xml:space="preserve">Metric</t>
  </si>
  <si>
    <t xml:space="preserve">Rainfall (in)</t>
  </si>
  <si>
    <t xml:space="preserve">High (°F)</t>
  </si>
  <si>
    <t xml:space="preserve">Low (°F)</t>
  </si>
  <si>
    <t xml:space="preserve">Average</t>
  </si>
  <si>
    <t xml:space="preserve">Median</t>
  </si>
  <si>
    <t xml:space="preserve">Mode</t>
  </si>
  <si>
    <t xml:space="preserve">Max</t>
  </si>
  <si>
    <t xml:space="preserve">Min</t>
  </si>
  <si>
    <t xml:space="preserve">Range</t>
  </si>
  <si>
    <t xml:space="preserve">Charts</t>
  </si>
  <si>
    <t xml:space="preserve">Monthly rainfall &amp; temperature</t>
  </si>
  <si>
    <t xml:space="preserve">Rainiest month: January (3.08 in). Mean temperature ≈ (avg high + avg low)/2 ≈ 77°F.</t>
  </si>
  <si>
    <t xml:space="preserve">Median is a better measure for rainfall because the distribution is right-skewed (a few wet months pull the mean up).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</si>
</sst>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AA433F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CC8F8E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Average Monthly Rainfall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Raw_Data!B3</c:f>
              <c:strCache>
                <c:ptCount val="1"/>
                <c:pt idx="0">
                  <c:v>Avg Rainfall (in)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Raw_Data!$B$4:$B$15</c:f>
              <c:numCache>
                <c:formatCode>0.00</c:formatCode>
                <c:ptCount val="12"/>
                <c:pt idx="0">
                  <c:v>3.08</c:v>
                </c:pt>
                <c:pt idx="1">
                  <c:v>2.92</c:v>
                </c:pt>
                <c:pt idx="2">
                  <c:v>2.23</c:v>
                </c:pt>
                <c:pt idx="3">
                  <c:v>0.62</c:v>
                </c:pt>
                <c:pt idx="4">
                  <c:v>0.66</c:v>
                </c:pt>
                <c:pt idx="5">
                  <c:v>0.26</c:v>
                </c:pt>
                <c:pt idx="6">
                  <c:v>0.53</c:v>
                </c:pt>
                <c:pt idx="7">
                  <c:v>0.62</c:v>
                </c:pt>
                <c:pt idx="8">
                  <c:v>0.58</c:v>
                </c:pt>
                <c:pt idx="9">
                  <c:v>1.88</c:v>
                </c:pt>
                <c:pt idx="10">
                  <c:v>2.66</c:v>
                </c:pt>
                <c:pt idx="11">
                  <c:v>3.04</c:v>
                </c:pt>
              </c:numCache>
            </c:numRef>
          </c:val>
        </c:ser>
        <c:gapWidth val="150"/>
        <c:overlap val="0"/>
        <c:axId val="40723086"/>
        <c:axId val="44318512"/>
      </c:barChart>
      <c:catAx>
        <c:axId val="407230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318512"/>
        <c:crosses val="autoZero"/>
        <c:auto val="1"/>
        <c:lblAlgn val="ctr"/>
        <c:lblOffset val="100"/>
        <c:noMultiLvlLbl val="0"/>
      </c:catAx>
      <c:valAx>
        <c:axId val="44318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7230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Average High &amp; Low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Raw_Data!C3</c:f>
              <c:strCache>
                <c:ptCount val="1"/>
                <c:pt idx="0">
                  <c:v>Avg High (°F)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Raw_Data!$C$4:$C$15</c:f>
              <c:numCache>
                <c:formatCode>0.00</c:formatCode>
                <c:ptCount val="12"/>
                <c:pt idx="0">
                  <c:v>80.1</c:v>
                </c:pt>
                <c:pt idx="1">
                  <c:v>80.4</c:v>
                </c:pt>
                <c:pt idx="2">
                  <c:v>81.6</c:v>
                </c:pt>
                <c:pt idx="3">
                  <c:v>83.1</c:v>
                </c:pt>
                <c:pt idx="4">
                  <c:v>84.9</c:v>
                </c:pt>
                <c:pt idx="5">
                  <c:v>86.7</c:v>
                </c:pt>
                <c:pt idx="6">
                  <c:v>87.8</c:v>
                </c:pt>
                <c:pt idx="7">
                  <c:v>88.6</c:v>
                </c:pt>
                <c:pt idx="8">
                  <c:v>88.3</c:v>
                </c:pt>
                <c:pt idx="9">
                  <c:v>86.9</c:v>
                </c:pt>
                <c:pt idx="10">
                  <c:v>83.7</c:v>
                </c:pt>
                <c:pt idx="11">
                  <c:v>81.3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Raw_Data!D3</c:f>
              <c:strCache>
                <c:ptCount val="1"/>
                <c:pt idx="0">
                  <c:v>Avg Low (°F)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Raw_Data!$D$4:$D$15</c:f>
              <c:numCache>
                <c:formatCode>0.00</c:formatCode>
                <c:ptCount val="12"/>
                <c:pt idx="0">
                  <c:v>65.6</c:v>
                </c:pt>
                <c:pt idx="1">
                  <c:v>65.4</c:v>
                </c:pt>
                <c:pt idx="2">
                  <c:v>66.7</c:v>
                </c:pt>
                <c:pt idx="3">
                  <c:v>68.3</c:v>
                </c:pt>
                <c:pt idx="4">
                  <c:v>70.1</c:v>
                </c:pt>
                <c:pt idx="5">
                  <c:v>72.3</c:v>
                </c:pt>
                <c:pt idx="6">
                  <c:v>73.3</c:v>
                </c:pt>
                <c:pt idx="7">
                  <c:v>73.9</c:v>
                </c:pt>
                <c:pt idx="8">
                  <c:v>73.1</c:v>
                </c:pt>
                <c:pt idx="9">
                  <c:v>71.8</c:v>
                </c:pt>
                <c:pt idx="10">
                  <c:v>69.6</c:v>
                </c:pt>
                <c:pt idx="11">
                  <c:v>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097083"/>
        <c:axId val="20054612"/>
      </c:lineChart>
      <c:catAx>
        <c:axId val="72097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054612"/>
        <c:crosses val="autoZero"/>
        <c:auto val="1"/>
        <c:lblAlgn val="ctr"/>
        <c:lblOffset val="100"/>
        <c:noMultiLvlLbl val="0"/>
      </c:catAx>
      <c:valAx>
        <c:axId val="20054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°F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0970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10</xdr:col>
      <xdr:colOff>363960</xdr:colOff>
      <xdr:row>21</xdr:row>
      <xdr:rowOff>169920</xdr:rowOff>
    </xdr:to>
    <xdr:graphicFrame>
      <xdr:nvGraphicFramePr>
        <xdr:cNvPr id="1" name="Chart 1"/>
        <xdr:cNvGraphicFramePr/>
      </xdr:nvGraphicFramePr>
      <xdr:xfrm>
        <a:off x="0" y="743040"/>
        <a:ext cx="647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10</xdr:col>
      <xdr:colOff>363960</xdr:colOff>
      <xdr:row>41</xdr:row>
      <xdr:rowOff>169920</xdr:rowOff>
    </xdr:to>
    <xdr:graphicFrame>
      <xdr:nvGraphicFramePr>
        <xdr:cNvPr id="2" name="Chart 2"/>
        <xdr:cNvGraphicFramePr/>
      </xdr:nvGraphicFramePr>
      <xdr:xfrm>
        <a:off x="0" y="4552920"/>
        <a:ext cx="647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4" min="3" style="1" width="16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s">
        <v>6</v>
      </c>
      <c r="B4" s="6" t="n">
        <v>3.08</v>
      </c>
      <c r="C4" s="6" t="n">
        <v>80.1</v>
      </c>
      <c r="D4" s="6" t="n">
        <v>65.6</v>
      </c>
    </row>
    <row r="5" customFormat="false" ht="15" hidden="false" customHeight="false" outlineLevel="0" collapsed="false">
      <c r="A5" s="5" t="s">
        <v>7</v>
      </c>
      <c r="B5" s="6" t="n">
        <v>2.92</v>
      </c>
      <c r="C5" s="6" t="n">
        <v>80.4</v>
      </c>
      <c r="D5" s="6" t="n">
        <v>65.4</v>
      </c>
    </row>
    <row r="6" customFormat="false" ht="15" hidden="false" customHeight="false" outlineLevel="0" collapsed="false">
      <c r="A6" s="5" t="s">
        <v>8</v>
      </c>
      <c r="B6" s="6" t="n">
        <v>2.23</v>
      </c>
      <c r="C6" s="6" t="n">
        <v>81.6</v>
      </c>
      <c r="D6" s="6" t="n">
        <v>66.7</v>
      </c>
    </row>
    <row r="7" customFormat="false" ht="15" hidden="false" customHeight="false" outlineLevel="0" collapsed="false">
      <c r="A7" s="5" t="s">
        <v>9</v>
      </c>
      <c r="B7" s="6" t="n">
        <v>0.62</v>
      </c>
      <c r="C7" s="6" t="n">
        <v>83.1</v>
      </c>
      <c r="D7" s="6" t="n">
        <v>68.3</v>
      </c>
    </row>
    <row r="8" customFormat="false" ht="15" hidden="false" customHeight="false" outlineLevel="0" collapsed="false">
      <c r="A8" s="5" t="s">
        <v>10</v>
      </c>
      <c r="B8" s="6" t="n">
        <v>0.66</v>
      </c>
      <c r="C8" s="6" t="n">
        <v>84.9</v>
      </c>
      <c r="D8" s="6" t="n">
        <v>70.1</v>
      </c>
    </row>
    <row r="9" customFormat="false" ht="15" hidden="false" customHeight="false" outlineLevel="0" collapsed="false">
      <c r="A9" s="5" t="s">
        <v>11</v>
      </c>
      <c r="B9" s="6" t="n">
        <v>0.26</v>
      </c>
      <c r="C9" s="6" t="n">
        <v>86.7</v>
      </c>
      <c r="D9" s="6" t="n">
        <v>72.3</v>
      </c>
    </row>
    <row r="10" customFormat="false" ht="15" hidden="false" customHeight="false" outlineLevel="0" collapsed="false">
      <c r="A10" s="5" t="s">
        <v>12</v>
      </c>
      <c r="B10" s="6" t="n">
        <v>0.53</v>
      </c>
      <c r="C10" s="6" t="n">
        <v>87.8</v>
      </c>
      <c r="D10" s="6" t="n">
        <v>73.3</v>
      </c>
    </row>
    <row r="11" customFormat="false" ht="15" hidden="false" customHeight="false" outlineLevel="0" collapsed="false">
      <c r="A11" s="5" t="s">
        <v>13</v>
      </c>
      <c r="B11" s="6" t="n">
        <v>0.62</v>
      </c>
      <c r="C11" s="6" t="n">
        <v>88.6</v>
      </c>
      <c r="D11" s="6" t="n">
        <v>73.9</v>
      </c>
    </row>
    <row r="12" customFormat="false" ht="15" hidden="false" customHeight="false" outlineLevel="0" collapsed="false">
      <c r="A12" s="5" t="s">
        <v>14</v>
      </c>
      <c r="B12" s="6" t="n">
        <v>0.58</v>
      </c>
      <c r="C12" s="6" t="n">
        <v>88.3</v>
      </c>
      <c r="D12" s="6" t="n">
        <v>73.1</v>
      </c>
    </row>
    <row r="13" customFormat="false" ht="15" hidden="false" customHeight="false" outlineLevel="0" collapsed="false">
      <c r="A13" s="5" t="s">
        <v>15</v>
      </c>
      <c r="B13" s="6" t="n">
        <v>1.88</v>
      </c>
      <c r="C13" s="6" t="n">
        <v>86.9</v>
      </c>
      <c r="D13" s="6" t="n">
        <v>71.8</v>
      </c>
    </row>
    <row r="14" customFormat="false" ht="15" hidden="false" customHeight="false" outlineLevel="0" collapsed="false">
      <c r="A14" s="5" t="s">
        <v>16</v>
      </c>
      <c r="B14" s="6" t="n">
        <v>2.66</v>
      </c>
      <c r="C14" s="6" t="n">
        <v>83.7</v>
      </c>
      <c r="D14" s="6" t="n">
        <v>69.6</v>
      </c>
    </row>
    <row r="15" customFormat="false" ht="15" hidden="false" customHeight="false" outlineLevel="0" collapsed="false">
      <c r="A15" s="5" t="s">
        <v>17</v>
      </c>
      <c r="B15" s="6" t="n">
        <v>3.04</v>
      </c>
      <c r="C15" s="6" t="n">
        <v>81.3</v>
      </c>
      <c r="D15" s="6" t="n">
        <v>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4" min="3" style="1" width="14"/>
  </cols>
  <sheetData>
    <row r="1" customFormat="false" ht="25.5" hidden="false" customHeight="true" outlineLevel="0" collapsed="false">
      <c r="A1" s="2" t="s">
        <v>18</v>
      </c>
      <c r="B1" s="2"/>
      <c r="C1" s="2"/>
      <c r="D1" s="2"/>
    </row>
    <row r="2" customFormat="false" ht="18" hidden="false" customHeight="true" outlineLevel="0" collapsed="false">
      <c r="A2" s="3" t="s">
        <v>19</v>
      </c>
      <c r="B2" s="3"/>
      <c r="C2" s="3"/>
      <c r="D2" s="3"/>
    </row>
    <row r="3" customFormat="false" ht="31.5" hidden="false" customHeight="true" outlineLevel="0" collapsed="false">
      <c r="A3" s="4" t="s">
        <v>20</v>
      </c>
      <c r="B3" s="4" t="s">
        <v>21</v>
      </c>
      <c r="C3" s="4" t="s">
        <v>22</v>
      </c>
      <c r="D3" s="4" t="s">
        <v>23</v>
      </c>
    </row>
    <row r="4" customFormat="false" ht="15" hidden="false" customHeight="false" outlineLevel="0" collapsed="false">
      <c r="A4" s="7" t="s">
        <v>24</v>
      </c>
      <c r="B4" s="8" t="n">
        <f aca="false">AVERAGE(Raw_Data!B4:B15)</f>
        <v>1.59</v>
      </c>
      <c r="C4" s="8" t="n">
        <f aca="false">AVERAGE(Raw_Data!C4:C15)</f>
        <v>84.45</v>
      </c>
      <c r="D4" s="8" t="n">
        <f aca="false">AVERAGE(Raw_Data!D4:D15)</f>
        <v>69.7583333333333</v>
      </c>
    </row>
    <row r="5" customFormat="false" ht="15" hidden="false" customHeight="false" outlineLevel="0" collapsed="false">
      <c r="A5" s="7" t="s">
        <v>25</v>
      </c>
      <c r="B5" s="8" t="n">
        <f aca="false">MEDIAN(Raw_Data!B4:B15)</f>
        <v>1.27</v>
      </c>
      <c r="C5" s="8" t="n">
        <f aca="false">MEDIAN(Raw_Data!C4:C15)</f>
        <v>84.3</v>
      </c>
      <c r="D5" s="8" t="n">
        <f aca="false">MEDIAN(Raw_Data!D4:D15)</f>
        <v>69.85</v>
      </c>
    </row>
    <row r="6" customFormat="false" ht="15" hidden="false" customHeight="false" outlineLevel="0" collapsed="false">
      <c r="A6" s="7" t="s">
        <v>26</v>
      </c>
      <c r="B6" s="8" t="n">
        <f aca="false">IFERROR(MODE(Raw_Data!B4:B15),"n/a")</f>
        <v>0.62</v>
      </c>
      <c r="C6" s="8" t="str">
        <f aca="false">IFERROR(MODE(Raw_Data!C4:C15),"n/a")</f>
        <v>n/a</v>
      </c>
      <c r="D6" s="8" t="str">
        <f aca="false">IFERROR(MODE(Raw_Data!D4:D15),"n/a")</f>
        <v>n/a</v>
      </c>
    </row>
    <row r="7" customFormat="false" ht="15" hidden="false" customHeight="false" outlineLevel="0" collapsed="false">
      <c r="A7" s="7" t="s">
        <v>27</v>
      </c>
      <c r="B7" s="8" t="n">
        <f aca="false">MAX(Raw_Data!B4:B15)</f>
        <v>3.08</v>
      </c>
      <c r="C7" s="8" t="n">
        <f aca="false">MAX(Raw_Data!C4:C15)</f>
        <v>88.6</v>
      </c>
      <c r="D7" s="8" t="n">
        <f aca="false">MAX(Raw_Data!D4:D15)</f>
        <v>73.9</v>
      </c>
    </row>
    <row r="8" customFormat="false" ht="15" hidden="false" customHeight="false" outlineLevel="0" collapsed="false">
      <c r="A8" s="7" t="s">
        <v>28</v>
      </c>
      <c r="B8" s="8" t="n">
        <f aca="false">MIN(Raw_Data!B4:B15)</f>
        <v>0.26</v>
      </c>
      <c r="C8" s="8" t="n">
        <f aca="false">MIN(Raw_Data!C4:C15)</f>
        <v>80.1</v>
      </c>
      <c r="D8" s="8" t="n">
        <f aca="false">MIN(Raw_Data!D4:D15)</f>
        <v>65.4</v>
      </c>
    </row>
    <row r="9" customFormat="false" ht="15" hidden="false" customHeight="false" outlineLevel="0" collapsed="false">
      <c r="A9" s="7" t="s">
        <v>29</v>
      </c>
      <c r="B9" s="8" t="n">
        <f aca="false">MAX(Raw_Data!B4:B15)-MIN(Raw_Data!B4:B15)</f>
        <v>2.82</v>
      </c>
      <c r="C9" s="8" t="n">
        <f aca="false">MAX(Raw_Data!C4:C15)-MIN(Raw_Data!C4:C15)</f>
        <v>8.5</v>
      </c>
      <c r="D9" s="8" t="n">
        <f aca="false">MAX(Raw_Data!D4:D15)-MIN(Raw_Data!D4:D15)</f>
        <v>8.5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5.5" hidden="false" customHeight="true" outlineLevel="0" collapsed="false">
      <c r="A1" s="2" t="s">
        <v>30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31</v>
      </c>
      <c r="B2" s="3"/>
      <c r="C2" s="3"/>
      <c r="D2" s="3"/>
      <c r="E2" s="3"/>
      <c r="F2" s="3"/>
    </row>
    <row r="4" customFormat="false" ht="15" hidden="false" customHeight="true" outlineLevel="0" collapsed="false">
      <c r="H4" s="9" t="s">
        <v>32</v>
      </c>
      <c r="I4" s="9"/>
      <c r="J4" s="9"/>
      <c r="K4" s="9"/>
      <c r="L4" s="9"/>
      <c r="M4" s="9"/>
    </row>
    <row r="5" customFormat="false" ht="15" hidden="false" customHeight="false" outlineLevel="0" collapsed="false">
      <c r="H5" s="9"/>
      <c r="I5" s="9"/>
      <c r="J5" s="9"/>
      <c r="K5" s="9"/>
      <c r="L5" s="9"/>
      <c r="M5" s="9"/>
    </row>
    <row r="6" customFormat="false" ht="15" hidden="false" customHeight="false" outlineLevel="0" collapsed="false">
      <c r="H6" s="9"/>
      <c r="I6" s="9"/>
      <c r="J6" s="9"/>
      <c r="K6" s="9"/>
      <c r="L6" s="9"/>
      <c r="M6" s="9"/>
    </row>
    <row r="8" customFormat="false" ht="15" hidden="false" customHeight="true" outlineLevel="0" collapsed="false">
      <c r="H8" s="9" t="s">
        <v>33</v>
      </c>
      <c r="I8" s="9"/>
      <c r="J8" s="9"/>
      <c r="K8" s="9"/>
      <c r="L8" s="9"/>
      <c r="M8" s="9"/>
    </row>
    <row r="9" customFormat="false" ht="15" hidden="false" customHeight="false" outlineLevel="0" collapsed="false">
      <c r="H9" s="9"/>
      <c r="I9" s="9"/>
      <c r="J9" s="9"/>
      <c r="K9" s="9"/>
      <c r="L9" s="9"/>
      <c r="M9" s="9"/>
    </row>
    <row r="10" customFormat="false" ht="15" hidden="false" customHeight="false" outlineLevel="0" collapsed="false">
      <c r="H10" s="9"/>
      <c r="I10" s="9"/>
      <c r="J10" s="9"/>
      <c r="K10" s="9"/>
      <c r="L10" s="9"/>
      <c r="M10" s="9"/>
    </row>
  </sheetData>
  <mergeCells count="4">
    <mergeCell ref="A1:F1"/>
    <mergeCell ref="A2:F2"/>
    <mergeCell ref="H4:M6"/>
    <mergeCell ref="H8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2026-04-21T18:54:19Z</dcterms:created>
  <dc:creator>openpyxl</dc:creator>
  <dc:description/>
  <dc:language>en-US</dc:language>
  <cp:lastModifiedBy/>
  <dcterms:modified xsi:type="dcterms:W3CDTF">2026-04-21T19:02:07Z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