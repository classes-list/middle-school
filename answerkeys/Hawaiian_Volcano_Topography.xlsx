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vation_Ref" sheetId="1" state="visible" r:id="rId3"/>
    <sheet name="Slope_Calc" sheetId="2" state="visible" r:id="rId4"/>
    <sheet name="Lava_Flow" sheetId="3" state="visible" r:id="rId5"/>
    <sheet name="Cross_S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<sst xmlns="http://schemas.openxmlformats.org/spreadsheetml/2006/main" count="51" uniqueCount="49">
  <si>
    <t xml:space="preserve">Hawaiian Volcano Elevation Reference</t>
  </si>
  <si>
    <t xml:space="preserve">Above sea + below sea; taller than Everest?</t>
  </si>
  <si>
    <t xml:space="preserve">Location</t>
  </si>
  <si>
    <t xml:space="preserve">Above Sea (m)</t>
  </si>
  <si>
    <t xml:space="preserve">Below Sea (m)</t>
  </si>
  <si>
    <t xml:space="preserve">Total Height =B+C</t>
  </si>
  <si>
    <t xml:space="preserve">Taller than Everest (8849 m)?</t>
  </si>
  <si>
    <t xml:space="preserve">Mauna Kea summit</t>
  </si>
  <si>
    <t xml:space="preserve">Mauna Loa</t>
  </si>
  <si>
    <t xml:space="preserve">Kīlauea</t>
  </si>
  <si>
    <t xml:space="preserve">Haleakalā (Maui)</t>
  </si>
  <si>
    <t xml:space="preserve">Koʻolau Range (Oʻahu)</t>
  </si>
  <si>
    <t xml:space="preserve">Diamond Head</t>
  </si>
  <si>
    <t xml:space="preserve">Mt. Everest</t>
  </si>
  <si>
    <t xml:space="preserve">Death Valley (compare)</t>
  </si>
  <si>
    <t xml:space="preserve">Mauna Kea total = 10,005 m; 1,156 m taller than Everest when measured from the ocean floor.</t>
  </si>
  <si>
    <t xml:space="preserve">Mauna Loa Cross-Section Slopes</t>
  </si>
  <si>
    <t xml:space="preserve">6 flanks: rise/run → % grade → class</t>
  </si>
  <si>
    <t xml:space="preserve">Segment</t>
  </si>
  <si>
    <t xml:space="preserve">Start Elev (m)</t>
  </si>
  <si>
    <t xml:space="preserve">End Elev (m)</t>
  </si>
  <si>
    <t xml:space="preserve">Rise =C−B</t>
  </si>
  <si>
    <t xml:space="preserve">Horiz. Distance (m)</t>
  </si>
  <si>
    <t xml:space="preserve">Slope =D/E</t>
  </si>
  <si>
    <t xml:space="preserve">% Grade =F·100</t>
  </si>
  <si>
    <t xml:space="preserve">Classification</t>
  </si>
  <si>
    <t xml:space="preserve">Base→1000 m flank</t>
  </si>
  <si>
    <t xml:space="preserve">1000→2000 m flank</t>
  </si>
  <si>
    <t xml:space="preserve">2000→3000 m flank</t>
  </si>
  <si>
    <t xml:space="preserve">3000→4000 m flank</t>
  </si>
  <si>
    <t xml:space="preserve">4000→summit</t>
  </si>
  <si>
    <t xml:space="preserve">Steep south flank</t>
  </si>
  <si>
    <t xml:space="preserve">Kīlauea Lava Flow Distances</t>
  </si>
  <si>
    <t xml:space="preserve">Starting/ending elevation, slope, flow type</t>
  </si>
  <si>
    <t xml:space="preserve">Flow</t>
  </si>
  <si>
    <t xml:space="preserve">Drop (m) =B−C</t>
  </si>
  <si>
    <t xml:space="preserve">Horiz. Dist (km)</t>
  </si>
  <si>
    <t xml:space="preserve">Avg Slope =(B−C)/(E·1000)</t>
  </si>
  <si>
    <t xml:space="preserve">Flow Context</t>
  </si>
  <si>
    <t xml:space="preserve">Puʻu ʻŌʻō 1983–2018</t>
  </si>
  <si>
    <t xml:space="preserve">Halemaʻumaʻu 2018</t>
  </si>
  <si>
    <t xml:space="preserve">Mauna Ulu 1969–74</t>
  </si>
  <si>
    <t xml:space="preserve">Kapoho 2018</t>
  </si>
  <si>
    <t xml:space="preserve">Kahuku Pali flow</t>
  </si>
  <si>
    <t xml:space="preserve">Cross Section (idealized island)</t>
  </si>
  <si>
    <t xml:space="preserve">Elevation profile west→east</t>
  </si>
  <si>
    <t xml:space="preserve">Distance from west (km)</t>
  </si>
  <si>
    <t xml:space="preserve">Elevation (m)</t>
  </si>
  <si>
    <t xml:space="preserve">Slope from previous =(E_n − E_{n−1})/10000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</si>
</sst>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.0\%"/>
    <numFmt numFmtId="168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height from base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Elevation_Ref!D3</c:f>
              <c:strCache>
                <c:ptCount val="1"/>
                <c:pt idx="0">
                  <c:v>Total Height =B+C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Elevation_Ref!$A$4:$A$11</c:f>
              <c:strCache>
                <c:ptCount val="8"/>
                <c:pt idx="0">
                  <c:v>Mauna Kea summit</c:v>
                </c:pt>
                <c:pt idx="1">
                  <c:v>Mauna Loa</c:v>
                </c:pt>
                <c:pt idx="2">
                  <c:v>Kīlauea</c:v>
                </c:pt>
                <c:pt idx="3">
                  <c:v>Haleakalā (Maui)</c:v>
                </c:pt>
                <c:pt idx="4">
                  <c:v>Koʻolau Range (Oʻahu)</c:v>
                </c:pt>
                <c:pt idx="5">
                  <c:v>Diamond Head</c:v>
                </c:pt>
                <c:pt idx="6">
                  <c:v>Mt. Everest</c:v>
                </c:pt>
                <c:pt idx="7">
                  <c:v>Death Valley (compare)</c:v>
                </c:pt>
              </c:strCache>
            </c:strRef>
          </c:cat>
          <c:val>
            <c:numRef>
              <c:f>Elevation_Ref!$D$4:$D$11</c:f>
              <c:numCache>
                <c:formatCode>#,##0</c:formatCode>
                <c:ptCount val="8"/>
                <c:pt idx="0">
                  <c:v>10005</c:v>
                </c:pt>
                <c:pt idx="1">
                  <c:v>9169</c:v>
                </c:pt>
                <c:pt idx="2">
                  <c:v>5747</c:v>
                </c:pt>
                <c:pt idx="3">
                  <c:v>5055</c:v>
                </c:pt>
                <c:pt idx="4">
                  <c:v>960</c:v>
                </c:pt>
                <c:pt idx="5">
                  <c:v>232</c:v>
                </c:pt>
                <c:pt idx="6">
                  <c:v>8849</c:v>
                </c:pt>
                <c:pt idx="7">
                  <c:v>-86</c:v>
                </c:pt>
              </c:numCache>
            </c:numRef>
          </c:val>
        </c:ser>
        <c:gapWidth val="150"/>
        <c:overlap val="0"/>
        <c:axId val="49361616"/>
        <c:axId val="79654032"/>
      </c:barChart>
      <c:catAx>
        <c:axId val="49361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Peak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654032"/>
        <c:crosses val="autoZero"/>
        <c:auto val="1"/>
        <c:lblAlgn val="ctr"/>
        <c:lblOffset val="100"/>
        <c:noMultiLvlLbl val="0"/>
      </c:catAx>
      <c:valAx>
        <c:axId val="79654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Height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3616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Island cross section: elevation vs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Cross_Section!B3</c:f>
              <c:strCache>
                <c:ptCount val="1"/>
                <c:pt idx="0">
                  <c:v>Elevation (m)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Cross_Section!$A$4:$A$14</c:f>
              <c:strCach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strCache>
            </c:strRef>
          </c:cat>
          <c:val>
            <c:numRef>
              <c:f>Cross_Section!$B$4:$B$14</c:f>
              <c:numCache>
                <c:formatCode>General</c:formatCode>
                <c:ptCount val="11"/>
                <c:pt idx="0">
                  <c:v>0</c:v>
                </c:pt>
                <c:pt idx="1">
                  <c:v>200</c:v>
                </c:pt>
                <c:pt idx="2">
                  <c:v>600</c:v>
                </c:pt>
                <c:pt idx="3">
                  <c:v>1500</c:v>
                </c:pt>
                <c:pt idx="4">
                  <c:v>2800</c:v>
                </c:pt>
                <c:pt idx="5">
                  <c:v>4000</c:v>
                </c:pt>
                <c:pt idx="6">
                  <c:v>2800</c:v>
                </c:pt>
                <c:pt idx="7">
                  <c:v>1500</c:v>
                </c:pt>
                <c:pt idx="8">
                  <c:v>600</c:v>
                </c:pt>
                <c:pt idx="9">
                  <c:v>200</c:v>
                </c:pt>
                <c:pt idx="1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360223"/>
        <c:axId val="5706201"/>
      </c:lineChart>
      <c:catAx>
        <c:axId val="67360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Distance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06201"/>
        <c:crosses val="autoZero"/>
        <c:auto val="1"/>
        <c:lblAlgn val="ctr"/>
        <c:lblOffset val="100"/>
        <c:noMultiLvlLbl val="0"/>
      </c:catAx>
      <c:valAx>
        <c:axId val="57062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Elevation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3602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363960</xdr:colOff>
      <xdr:row>21</xdr:row>
      <xdr:rowOff>129960</xdr:rowOff>
    </xdr:to>
    <xdr:graphicFrame>
      <xdr:nvGraphicFramePr>
        <xdr:cNvPr id="1" name="Chart 1"/>
        <xdr:cNvGraphicFramePr/>
      </xdr:nvGraphicFramePr>
      <xdr:xfrm>
        <a:off x="766008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14</xdr:col>
      <xdr:colOff>363960</xdr:colOff>
      <xdr:row>21</xdr:row>
      <xdr:rowOff>129960</xdr:rowOff>
    </xdr:to>
    <xdr:graphicFrame>
      <xdr:nvGraphicFramePr>
        <xdr:cNvPr id="2" name="Chart 1"/>
        <xdr:cNvGraphicFramePr/>
      </xdr:nvGraphicFramePr>
      <xdr:xfrm>
        <a:off x="554544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5" min="5" style="1" width="2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false" outlineLevel="0" collapsed="false">
      <c r="A4" s="5" t="s">
        <v>7</v>
      </c>
      <c r="B4" s="6" t="n">
        <v>4205</v>
      </c>
      <c r="C4" s="6" t="n">
        <v>5800</v>
      </c>
      <c r="D4" s="7" t="n">
        <f aca="false">B4+C4</f>
        <v>10005</v>
      </c>
      <c r="E4" s="8" t="str">
        <f aca="false">IF(D4&gt;8849,"YES","NO")</f>
        <v>YES</v>
      </c>
    </row>
    <row r="5" customFormat="false" ht="15" hidden="false" customHeight="false" outlineLevel="0" collapsed="false">
      <c r="A5" s="5" t="s">
        <v>8</v>
      </c>
      <c r="B5" s="6" t="n">
        <v>4169</v>
      </c>
      <c r="C5" s="6" t="n">
        <v>5000</v>
      </c>
      <c r="D5" s="7" t="n">
        <f aca="false">B5+C5</f>
        <v>9169</v>
      </c>
      <c r="E5" s="8" t="str">
        <f aca="false">IF(D5&gt;8849,"YES","NO")</f>
        <v>YES</v>
      </c>
    </row>
    <row r="6" customFormat="false" ht="15" hidden="false" customHeight="false" outlineLevel="0" collapsed="false">
      <c r="A6" s="5" t="s">
        <v>9</v>
      </c>
      <c r="B6" s="6" t="n">
        <v>1247</v>
      </c>
      <c r="C6" s="6" t="n">
        <v>4500</v>
      </c>
      <c r="D6" s="7" t="n">
        <f aca="false">B6+C6</f>
        <v>5747</v>
      </c>
      <c r="E6" s="8" t="str">
        <f aca="false">IF(D6&gt;8849,"YES","NO")</f>
        <v>NO</v>
      </c>
    </row>
    <row r="7" customFormat="false" ht="15" hidden="false" customHeight="false" outlineLevel="0" collapsed="false">
      <c r="A7" s="5" t="s">
        <v>10</v>
      </c>
      <c r="B7" s="6" t="n">
        <v>3055</v>
      </c>
      <c r="C7" s="6" t="n">
        <v>2000</v>
      </c>
      <c r="D7" s="7" t="n">
        <f aca="false">B7+C7</f>
        <v>5055</v>
      </c>
      <c r="E7" s="8" t="str">
        <f aca="false">IF(D7&gt;8849,"YES","NO")</f>
        <v>NO</v>
      </c>
    </row>
    <row r="8" customFormat="false" ht="15" hidden="false" customHeight="false" outlineLevel="0" collapsed="false">
      <c r="A8" s="5" t="s">
        <v>11</v>
      </c>
      <c r="B8" s="6" t="n">
        <v>960</v>
      </c>
      <c r="C8" s="6" t="n">
        <v>0</v>
      </c>
      <c r="D8" s="7" t="n">
        <f aca="false">B8+C8</f>
        <v>960</v>
      </c>
      <c r="E8" s="8" t="str">
        <f aca="false">IF(D8&gt;8849,"YES","NO")</f>
        <v>NO</v>
      </c>
    </row>
    <row r="9" customFormat="false" ht="15" hidden="false" customHeight="false" outlineLevel="0" collapsed="false">
      <c r="A9" s="5" t="s">
        <v>12</v>
      </c>
      <c r="B9" s="6" t="n">
        <v>232</v>
      </c>
      <c r="C9" s="6" t="n">
        <v>0</v>
      </c>
      <c r="D9" s="7" t="n">
        <f aca="false">B9+C9</f>
        <v>232</v>
      </c>
      <c r="E9" s="8" t="str">
        <f aca="false">IF(D9&gt;8849,"YES","NO")</f>
        <v>NO</v>
      </c>
    </row>
    <row r="10" customFormat="false" ht="15" hidden="false" customHeight="false" outlineLevel="0" collapsed="false">
      <c r="A10" s="5" t="s">
        <v>13</v>
      </c>
      <c r="B10" s="6" t="n">
        <v>8849</v>
      </c>
      <c r="C10" s="6" t="n">
        <v>0</v>
      </c>
      <c r="D10" s="7" t="n">
        <f aca="false">B10+C10</f>
        <v>8849</v>
      </c>
      <c r="E10" s="8" t="str">
        <f aca="false">IF(D10&gt;8849,"YES","NO")</f>
        <v>NO</v>
      </c>
    </row>
    <row r="11" customFormat="false" ht="15" hidden="false" customHeight="false" outlineLevel="0" collapsed="false">
      <c r="A11" s="5" t="s">
        <v>14</v>
      </c>
      <c r="B11" s="6" t="n">
        <v>-86</v>
      </c>
      <c r="C11" s="6" t="n">
        <v>0</v>
      </c>
      <c r="D11" s="7" t="n">
        <f aca="false">B11+C11</f>
        <v>-86</v>
      </c>
      <c r="E11" s="8" t="str">
        <f aca="false">IF(D11&gt;8849,"YES","NO")</f>
        <v>NO</v>
      </c>
    </row>
    <row r="22" customFormat="false" ht="15" hidden="false" customHeight="false" outlineLevel="0" collapsed="false">
      <c r="G22" s="9" t="s">
        <v>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7" min="6" style="1" width="14"/>
    <col collapsed="false" customWidth="true" hidden="false" outlineLevel="0" max="8" min="8" style="1" width="16"/>
  </cols>
  <sheetData>
    <row r="1" customFormat="false" ht="25.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17</v>
      </c>
      <c r="B2" s="3"/>
      <c r="C2" s="3"/>
      <c r="D2" s="3"/>
      <c r="E2" s="3"/>
      <c r="F2" s="3"/>
      <c r="G2" s="3"/>
      <c r="H2" s="3"/>
    </row>
    <row r="3" customFormat="false" ht="31.5" hidden="false" customHeight="tru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</row>
    <row r="4" customFormat="false" ht="15" hidden="false" customHeight="false" outlineLevel="0" collapsed="false">
      <c r="A4" s="5" t="s">
        <v>26</v>
      </c>
      <c r="B4" s="10" t="n">
        <v>0</v>
      </c>
      <c r="C4" s="10" t="n">
        <v>1000</v>
      </c>
      <c r="D4" s="8" t="n">
        <f aca="false">C4-B4</f>
        <v>1000</v>
      </c>
      <c r="E4" s="6" t="n">
        <v>30000</v>
      </c>
      <c r="F4" s="11" t="n">
        <f aca="false">D4/E4</f>
        <v>0.0333333333333333</v>
      </c>
      <c r="G4" s="12" t="n">
        <f aca="false">F4*100</f>
        <v>3.33333333333333</v>
      </c>
      <c r="H4" s="8" t="str">
        <f aca="false">IF(G4&lt;2,"Flat",IF(G4&lt;15,"Gentle","Steep"))</f>
        <v>Gentle</v>
      </c>
    </row>
    <row r="5" customFormat="false" ht="15" hidden="false" customHeight="false" outlineLevel="0" collapsed="false">
      <c r="A5" s="5" t="s">
        <v>27</v>
      </c>
      <c r="B5" s="10" t="n">
        <v>1000</v>
      </c>
      <c r="C5" s="10" t="n">
        <v>2000</v>
      </c>
      <c r="D5" s="8" t="n">
        <f aca="false">C5-B5</f>
        <v>1000</v>
      </c>
      <c r="E5" s="6" t="n">
        <v>20000</v>
      </c>
      <c r="F5" s="11" t="n">
        <f aca="false">D5/E5</f>
        <v>0.05</v>
      </c>
      <c r="G5" s="12" t="n">
        <f aca="false">F5*100</f>
        <v>5</v>
      </c>
      <c r="H5" s="8" t="str">
        <f aca="false">IF(G5&lt;2,"Flat",IF(G5&lt;15,"Gentle","Steep"))</f>
        <v>Gentle</v>
      </c>
    </row>
    <row r="6" customFormat="false" ht="15" hidden="false" customHeight="false" outlineLevel="0" collapsed="false">
      <c r="A6" s="5" t="s">
        <v>28</v>
      </c>
      <c r="B6" s="10" t="n">
        <v>2000</v>
      </c>
      <c r="C6" s="10" t="n">
        <v>3000</v>
      </c>
      <c r="D6" s="8" t="n">
        <f aca="false">C6-B6</f>
        <v>1000</v>
      </c>
      <c r="E6" s="6" t="n">
        <v>15000</v>
      </c>
      <c r="F6" s="11" t="n">
        <f aca="false">D6/E6</f>
        <v>0.0666666666666667</v>
      </c>
      <c r="G6" s="12" t="n">
        <f aca="false">F6*100</f>
        <v>6.66666666666667</v>
      </c>
      <c r="H6" s="8" t="str">
        <f aca="false">IF(G6&lt;2,"Flat",IF(G6&lt;15,"Gentle","Steep"))</f>
        <v>Gentle</v>
      </c>
    </row>
    <row r="7" customFormat="false" ht="15" hidden="false" customHeight="false" outlineLevel="0" collapsed="false">
      <c r="A7" s="5" t="s">
        <v>29</v>
      </c>
      <c r="B7" s="10" t="n">
        <v>3000</v>
      </c>
      <c r="C7" s="10" t="n">
        <v>4000</v>
      </c>
      <c r="D7" s="8" t="n">
        <f aca="false">C7-B7</f>
        <v>1000</v>
      </c>
      <c r="E7" s="6" t="n">
        <v>10000</v>
      </c>
      <c r="F7" s="11" t="n">
        <f aca="false">D7/E7</f>
        <v>0.1</v>
      </c>
      <c r="G7" s="12" t="n">
        <f aca="false">F7*100</f>
        <v>10</v>
      </c>
      <c r="H7" s="8" t="str">
        <f aca="false">IF(G7&lt;2,"Flat",IF(G7&lt;15,"Gentle","Steep"))</f>
        <v>Gentle</v>
      </c>
    </row>
    <row r="8" customFormat="false" ht="15" hidden="false" customHeight="false" outlineLevel="0" collapsed="false">
      <c r="A8" s="5" t="s">
        <v>30</v>
      </c>
      <c r="B8" s="10" t="n">
        <v>4000</v>
      </c>
      <c r="C8" s="10" t="n">
        <v>4169</v>
      </c>
      <c r="D8" s="8" t="n">
        <f aca="false">C8-B8</f>
        <v>169</v>
      </c>
      <c r="E8" s="6" t="n">
        <v>5000</v>
      </c>
      <c r="F8" s="11" t="n">
        <f aca="false">D8/E8</f>
        <v>0.0338</v>
      </c>
      <c r="G8" s="12" t="n">
        <f aca="false">F8*100</f>
        <v>3.38</v>
      </c>
      <c r="H8" s="8" t="str">
        <f aca="false">IF(G8&lt;2,"Flat",IF(G8&lt;15,"Gentle","Steep"))</f>
        <v>Gentle</v>
      </c>
    </row>
    <row r="9" customFormat="false" ht="15" hidden="false" customHeight="false" outlineLevel="0" collapsed="false">
      <c r="A9" s="5" t="s">
        <v>31</v>
      </c>
      <c r="B9" s="10" t="n">
        <v>1500</v>
      </c>
      <c r="C9" s="10" t="n">
        <v>3000</v>
      </c>
      <c r="D9" s="8" t="n">
        <f aca="false">C9-B9</f>
        <v>1500</v>
      </c>
      <c r="E9" s="6" t="n">
        <v>7000</v>
      </c>
      <c r="F9" s="11" t="n">
        <f aca="false">D9/E9</f>
        <v>0.214285714285714</v>
      </c>
      <c r="G9" s="12" t="n">
        <f aca="false">F9*100</f>
        <v>21.4285714285714</v>
      </c>
      <c r="H9" s="8" t="str">
        <f aca="false">IF(G9&lt;2,"Flat",IF(G9&lt;15,"Gentle","Steep"))</f>
        <v>Steep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20"/>
  </cols>
  <sheetData>
    <row r="1" customFormat="false" ht="25.5" hidden="false" customHeight="true" outlineLevel="0" collapsed="false">
      <c r="A1" s="2" t="s">
        <v>32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33</v>
      </c>
      <c r="B2" s="3"/>
      <c r="C2" s="3"/>
      <c r="D2" s="3"/>
      <c r="E2" s="3"/>
      <c r="F2" s="3"/>
      <c r="G2" s="3"/>
    </row>
    <row r="3" customFormat="false" ht="31.5" hidden="false" customHeight="true" outlineLevel="0" collapsed="false">
      <c r="A3" s="4" t="s">
        <v>34</v>
      </c>
      <c r="B3" s="4" t="s">
        <v>19</v>
      </c>
      <c r="C3" s="4" t="s">
        <v>20</v>
      </c>
      <c r="D3" s="4" t="s">
        <v>35</v>
      </c>
      <c r="E3" s="4" t="s">
        <v>36</v>
      </c>
      <c r="F3" s="4" t="s">
        <v>37</v>
      </c>
      <c r="G3" s="4" t="s">
        <v>38</v>
      </c>
    </row>
    <row r="4" customFormat="false" ht="15" hidden="false" customHeight="false" outlineLevel="0" collapsed="false">
      <c r="A4" s="5" t="s">
        <v>39</v>
      </c>
      <c r="B4" s="10" t="n">
        <v>1000</v>
      </c>
      <c r="C4" s="10" t="n">
        <v>0</v>
      </c>
      <c r="D4" s="8" t="n">
        <f aca="false">B4-C4</f>
        <v>1000</v>
      </c>
      <c r="E4" s="10" t="n">
        <v>10</v>
      </c>
      <c r="F4" s="13" t="n">
        <f aca="false">(B4-C4)/(E4*1000)</f>
        <v>0.1</v>
      </c>
      <c r="G4" s="8" t="str">
        <f aca="false">IF(F4&gt;0.2,"Fast (basaltic)","Slow (silicic)")</f>
        <v>Slow (silicic)</v>
      </c>
    </row>
    <row r="5" customFormat="false" ht="15" hidden="false" customHeight="false" outlineLevel="0" collapsed="false">
      <c r="A5" s="5" t="s">
        <v>40</v>
      </c>
      <c r="B5" s="10" t="n">
        <v>1100</v>
      </c>
      <c r="C5" s="10" t="n">
        <v>200</v>
      </c>
      <c r="D5" s="8" t="n">
        <f aca="false">B5-C5</f>
        <v>900</v>
      </c>
      <c r="E5" s="10" t="n">
        <v>3</v>
      </c>
      <c r="F5" s="13" t="n">
        <f aca="false">(B5-C5)/(E5*1000)</f>
        <v>0.3</v>
      </c>
      <c r="G5" s="8" t="str">
        <f aca="false">IF(F5&gt;0.2,"Fast (basaltic)","Slow (silicic)")</f>
        <v>Fast (basaltic)</v>
      </c>
    </row>
    <row r="6" customFormat="false" ht="15" hidden="false" customHeight="false" outlineLevel="0" collapsed="false">
      <c r="A6" s="5" t="s">
        <v>41</v>
      </c>
      <c r="B6" s="10" t="n">
        <v>1000</v>
      </c>
      <c r="C6" s="10" t="n">
        <v>50</v>
      </c>
      <c r="D6" s="8" t="n">
        <f aca="false">B6-C6</f>
        <v>950</v>
      </c>
      <c r="E6" s="10" t="n">
        <v>12</v>
      </c>
      <c r="F6" s="13" t="n">
        <f aca="false">(B6-C6)/(E6*1000)</f>
        <v>0.0791666666666667</v>
      </c>
      <c r="G6" s="8" t="str">
        <f aca="false">IF(F6&gt;0.2,"Fast (basaltic)","Slow (silicic)")</f>
        <v>Slow (silicic)</v>
      </c>
    </row>
    <row r="7" customFormat="false" ht="15" hidden="false" customHeight="false" outlineLevel="0" collapsed="false">
      <c r="A7" s="5" t="s">
        <v>42</v>
      </c>
      <c r="B7" s="10" t="n">
        <v>100</v>
      </c>
      <c r="C7" s="10" t="n">
        <v>0</v>
      </c>
      <c r="D7" s="8" t="n">
        <f aca="false">B7-C7</f>
        <v>100</v>
      </c>
      <c r="E7" s="10" t="n">
        <v>4</v>
      </c>
      <c r="F7" s="13" t="n">
        <f aca="false">(B7-C7)/(E7*1000)</f>
        <v>0.025</v>
      </c>
      <c r="G7" s="8" t="str">
        <f aca="false">IF(F7&gt;0.2,"Fast (basaltic)","Slow (silicic)")</f>
        <v>Slow (silicic)</v>
      </c>
    </row>
    <row r="8" customFormat="false" ht="15" hidden="false" customHeight="false" outlineLevel="0" collapsed="false">
      <c r="A8" s="5" t="s">
        <v>43</v>
      </c>
      <c r="B8" s="10" t="n">
        <v>700</v>
      </c>
      <c r="C8" s="10" t="n">
        <v>100</v>
      </c>
      <c r="D8" s="8" t="n">
        <f aca="false">B8-C8</f>
        <v>600</v>
      </c>
      <c r="E8" s="10" t="n">
        <v>6</v>
      </c>
      <c r="F8" s="13" t="n">
        <f aca="false">(B8-C8)/(E8*1000)</f>
        <v>0.1</v>
      </c>
      <c r="G8" s="8" t="str">
        <f aca="false">IF(F8&gt;0.2,"Fast (basaltic)","Slow (silicic)")</f>
        <v>Slow (silicic)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28"/>
  </cols>
  <sheetData>
    <row r="1" customFormat="false" ht="25.5" hidden="false" customHeight="true" outlineLevel="0" collapsed="false">
      <c r="A1" s="2" t="s">
        <v>44</v>
      </c>
      <c r="B1" s="2"/>
      <c r="C1" s="2"/>
    </row>
    <row r="2" customFormat="false" ht="18" hidden="false" customHeight="true" outlineLevel="0" collapsed="false">
      <c r="A2" s="3" t="s">
        <v>45</v>
      </c>
      <c r="B2" s="3"/>
      <c r="C2" s="3"/>
    </row>
    <row r="3" customFormat="false" ht="31.5" hidden="false" customHeight="true" outlineLevel="0" collapsed="false">
      <c r="A3" s="4" t="s">
        <v>46</v>
      </c>
      <c r="B3" s="4" t="s">
        <v>47</v>
      </c>
      <c r="C3" s="4" t="s">
        <v>48</v>
      </c>
    </row>
    <row r="4" customFormat="false" ht="15" hidden="false" customHeight="false" outlineLevel="0" collapsed="false">
      <c r="A4" s="10" t="n">
        <v>0</v>
      </c>
      <c r="B4" s="10" t="n">
        <v>0</v>
      </c>
      <c r="C4" s="8"/>
    </row>
    <row r="5" customFormat="false" ht="15" hidden="false" customHeight="false" outlineLevel="0" collapsed="false">
      <c r="A5" s="10" t="n">
        <v>10</v>
      </c>
      <c r="B5" s="10" t="n">
        <v>200</v>
      </c>
      <c r="C5" s="13" t="n">
        <f aca="false">(B5-B4)/10000</f>
        <v>0.02</v>
      </c>
    </row>
    <row r="6" customFormat="false" ht="15" hidden="false" customHeight="false" outlineLevel="0" collapsed="false">
      <c r="A6" s="10" t="n">
        <v>20</v>
      </c>
      <c r="B6" s="10" t="n">
        <v>600</v>
      </c>
      <c r="C6" s="13" t="n">
        <f aca="false">(B6-B5)/10000</f>
        <v>0.04</v>
      </c>
    </row>
    <row r="7" customFormat="false" ht="15" hidden="false" customHeight="false" outlineLevel="0" collapsed="false">
      <c r="A7" s="10" t="n">
        <v>30</v>
      </c>
      <c r="B7" s="10" t="n">
        <v>1500</v>
      </c>
      <c r="C7" s="13" t="n">
        <f aca="false">(B7-B6)/10000</f>
        <v>0.09</v>
      </c>
    </row>
    <row r="8" customFormat="false" ht="15" hidden="false" customHeight="false" outlineLevel="0" collapsed="false">
      <c r="A8" s="10" t="n">
        <v>40</v>
      </c>
      <c r="B8" s="10" t="n">
        <v>2800</v>
      </c>
      <c r="C8" s="13" t="n">
        <f aca="false">(B8-B7)/10000</f>
        <v>0.13</v>
      </c>
    </row>
    <row r="9" customFormat="false" ht="15" hidden="false" customHeight="false" outlineLevel="0" collapsed="false">
      <c r="A9" s="10" t="n">
        <v>50</v>
      </c>
      <c r="B9" s="10" t="n">
        <v>4000</v>
      </c>
      <c r="C9" s="13" t="n">
        <f aca="false">(B9-B8)/10000</f>
        <v>0.12</v>
      </c>
    </row>
    <row r="10" customFormat="false" ht="15" hidden="false" customHeight="false" outlineLevel="0" collapsed="false">
      <c r="A10" s="10" t="n">
        <v>60</v>
      </c>
      <c r="B10" s="10" t="n">
        <v>2800</v>
      </c>
      <c r="C10" s="13" t="n">
        <f aca="false">(B10-B9)/10000</f>
        <v>-0.12</v>
      </c>
    </row>
    <row r="11" customFormat="false" ht="15" hidden="false" customHeight="false" outlineLevel="0" collapsed="false">
      <c r="A11" s="10" t="n">
        <v>70</v>
      </c>
      <c r="B11" s="10" t="n">
        <v>1500</v>
      </c>
      <c r="C11" s="13" t="n">
        <f aca="false">(B11-B10)/10000</f>
        <v>-0.13</v>
      </c>
    </row>
    <row r="12" customFormat="false" ht="15" hidden="false" customHeight="false" outlineLevel="0" collapsed="false">
      <c r="A12" s="10" t="n">
        <v>80</v>
      </c>
      <c r="B12" s="10" t="n">
        <v>600</v>
      </c>
      <c r="C12" s="13" t="n">
        <f aca="false">(B12-B11)/10000</f>
        <v>-0.09</v>
      </c>
    </row>
    <row r="13" customFormat="false" ht="15" hidden="false" customHeight="false" outlineLevel="0" collapsed="false">
      <c r="A13" s="10" t="n">
        <v>90</v>
      </c>
      <c r="B13" s="10" t="n">
        <v>200</v>
      </c>
      <c r="C13" s="13" t="n">
        <f aca="false">(B13-B12)/10000</f>
        <v>-0.04</v>
      </c>
    </row>
    <row r="14" customFormat="false" ht="15" hidden="false" customHeight="false" outlineLevel="0" collapsed="false">
      <c r="A14" s="10" t="n">
        <v>100</v>
      </c>
      <c r="B14" s="10" t="n">
        <v>0</v>
      </c>
      <c r="C14" s="13" t="n">
        <f aca="false">(B14-B13)/10000</f>
        <v>-0.02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2026-04-21T18:56:48Z</dcterms:created>
  <dc:creator>openpyxl</dc:creator>
  <dc:description/>
  <dc:language>en-US</dc:language>
  <cp:lastModifiedBy/>
  <dcterms:modified xsi:type="dcterms:W3CDTF">2026-04-21T19:02:06Z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