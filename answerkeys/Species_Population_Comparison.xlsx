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e Bird" sheetId="1" state="visible" r:id="rId1"/>
    <sheet xmlns:r="http://schemas.openxmlformats.org/officeDocument/2006/relationships" name="Invasive Bird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2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Native Bird Wingspan (mm)</t>
        </is>
      </c>
    </row>
    <row r="2" ht="18" customHeight="1">
      <c r="A2" s="2" t="inlineStr">
        <is>
          <t>30 measurements</t>
        </is>
      </c>
    </row>
    <row r="3">
      <c r="A3" s="3" t="inlineStr">
        <is>
          <t>Wingspan</t>
        </is>
      </c>
    </row>
    <row r="4">
      <c r="A4" s="4" t="n">
        <v>73.3</v>
      </c>
    </row>
    <row r="5">
      <c r="A5" s="4" t="n">
        <v>77</v>
      </c>
    </row>
    <row r="6">
      <c r="A6" s="4" t="n">
        <v>77.09999999999999</v>
      </c>
    </row>
    <row r="7">
      <c r="A7" s="4" t="n">
        <v>77.8</v>
      </c>
    </row>
    <row r="8">
      <c r="A8" s="4" t="n">
        <v>78.8</v>
      </c>
    </row>
    <row r="9">
      <c r="A9" s="4" t="n">
        <v>80.09999999999999</v>
      </c>
    </row>
    <row r="10">
      <c r="A10" s="4" t="n">
        <v>81.5</v>
      </c>
    </row>
    <row r="11">
      <c r="A11" s="4" t="n">
        <v>81.90000000000001</v>
      </c>
    </row>
    <row r="12">
      <c r="A12" s="4" t="n">
        <v>82.40000000000001</v>
      </c>
    </row>
    <row r="13">
      <c r="A13" s="4" t="n">
        <v>82.8</v>
      </c>
    </row>
    <row r="14">
      <c r="A14" s="4" t="n">
        <v>82.90000000000001</v>
      </c>
    </row>
    <row r="15">
      <c r="A15" s="4" t="n">
        <v>83.40000000000001</v>
      </c>
    </row>
    <row r="16">
      <c r="A16" s="4" t="n">
        <v>83.40000000000001</v>
      </c>
    </row>
    <row r="17">
      <c r="A17" s="4" t="n">
        <v>83.59999999999999</v>
      </c>
    </row>
    <row r="18">
      <c r="A18" s="4" t="n">
        <v>84</v>
      </c>
    </row>
    <row r="19">
      <c r="A19" s="4" t="n">
        <v>84</v>
      </c>
    </row>
    <row r="20">
      <c r="A20" s="4" t="n">
        <v>84.2</v>
      </c>
    </row>
    <row r="21">
      <c r="A21" s="4" t="n">
        <v>84.2</v>
      </c>
    </row>
    <row r="22">
      <c r="A22" s="4" t="n">
        <v>84.90000000000001</v>
      </c>
    </row>
    <row r="23">
      <c r="A23" s="4" t="n">
        <v>85</v>
      </c>
    </row>
    <row r="24">
      <c r="A24" s="4" t="n">
        <v>85.59999999999999</v>
      </c>
    </row>
    <row r="25">
      <c r="A25" s="4" t="n">
        <v>85.7</v>
      </c>
    </row>
    <row r="26">
      <c r="A26" s="4" t="n">
        <v>86.59999999999999</v>
      </c>
    </row>
    <row r="27">
      <c r="A27" s="4" t="n">
        <v>87.59999999999999</v>
      </c>
    </row>
    <row r="28">
      <c r="A28" s="4" t="n">
        <v>87.8</v>
      </c>
    </row>
    <row r="29">
      <c r="A29" s="4" t="n">
        <v>88.2</v>
      </c>
    </row>
    <row r="30">
      <c r="A30" s="4" t="n">
        <v>88.90000000000001</v>
      </c>
    </row>
    <row r="31">
      <c r="A31" s="4" t="n">
        <v>90.5</v>
      </c>
    </row>
    <row r="32">
      <c r="A32" s="4" t="n">
        <v>91.8</v>
      </c>
    </row>
    <row r="33">
      <c r="A33" s="4" t="n">
        <v>93.3</v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Invasive Bird Wingspan (mm)</t>
        </is>
      </c>
    </row>
    <row r="2" ht="18" customHeight="1">
      <c r="A2" s="2" t="inlineStr">
        <is>
          <t>30 measurements</t>
        </is>
      </c>
    </row>
    <row r="3">
      <c r="A3" s="3" t="inlineStr">
        <is>
          <t>Wingspan</t>
        </is>
      </c>
    </row>
    <row r="4">
      <c r="A4" s="4" t="n">
        <v>87.90000000000001</v>
      </c>
    </row>
    <row r="5">
      <c r="A5" s="4" t="n">
        <v>88.5</v>
      </c>
    </row>
    <row r="6">
      <c r="A6" s="4" t="n">
        <v>88.8</v>
      </c>
    </row>
    <row r="7">
      <c r="A7" s="4" t="n">
        <v>89.3</v>
      </c>
    </row>
    <row r="8">
      <c r="A8" s="4" t="n">
        <v>89.59999999999999</v>
      </c>
    </row>
    <row r="9">
      <c r="A9" s="4" t="n">
        <v>89.8</v>
      </c>
    </row>
    <row r="10">
      <c r="A10" s="4" t="n">
        <v>90</v>
      </c>
    </row>
    <row r="11">
      <c r="A11" s="4" t="n">
        <v>90</v>
      </c>
    </row>
    <row r="12">
      <c r="A12" s="4" t="n">
        <v>90.8</v>
      </c>
    </row>
    <row r="13">
      <c r="A13" s="4" t="n">
        <v>91.5</v>
      </c>
    </row>
    <row r="14">
      <c r="A14" s="4" t="n">
        <v>91.7</v>
      </c>
    </row>
    <row r="15">
      <c r="A15" s="4" t="n">
        <v>91.7</v>
      </c>
    </row>
    <row r="16">
      <c r="A16" s="4" t="n">
        <v>92.2</v>
      </c>
    </row>
    <row r="17">
      <c r="A17" s="4" t="n">
        <v>92.59999999999999</v>
      </c>
    </row>
    <row r="18">
      <c r="A18" s="4" t="n">
        <v>93</v>
      </c>
    </row>
    <row r="19">
      <c r="A19" s="4" t="n">
        <v>93.09999999999999</v>
      </c>
    </row>
    <row r="20">
      <c r="A20" s="4" t="n">
        <v>94</v>
      </c>
    </row>
    <row r="21">
      <c r="A21" s="4" t="n">
        <v>94.09999999999999</v>
      </c>
    </row>
    <row r="22">
      <c r="A22" s="4" t="n">
        <v>94.5</v>
      </c>
    </row>
    <row r="23">
      <c r="A23" s="4" t="n">
        <v>94.59999999999999</v>
      </c>
    </row>
    <row r="24">
      <c r="A24" s="4" t="n">
        <v>96.2</v>
      </c>
    </row>
    <row r="25">
      <c r="A25" s="4" t="n">
        <v>96.3</v>
      </c>
    </row>
    <row r="26">
      <c r="A26" s="4" t="n">
        <v>96.90000000000001</v>
      </c>
    </row>
    <row r="27">
      <c r="A27" s="4" t="n">
        <v>98</v>
      </c>
    </row>
    <row r="28">
      <c r="A28" s="4" t="n">
        <v>98</v>
      </c>
    </row>
    <row r="29">
      <c r="A29" s="4" t="n">
        <v>98.7</v>
      </c>
    </row>
    <row r="30">
      <c r="A30" s="4" t="n">
        <v>99.8</v>
      </c>
    </row>
    <row r="31">
      <c r="A31" s="4" t="n">
        <v>101</v>
      </c>
    </row>
    <row r="32">
      <c r="A32" s="4" t="n">
        <v>101</v>
      </c>
    </row>
    <row r="33">
      <c r="A33" s="4" t="n">
        <v>107.9</v>
      </c>
    </row>
  </sheetData>
  <mergeCells count="2">
    <mergeCell ref="A2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26" customHeight="1">
      <c r="A1" s="1" t="inlineStr">
        <is>
          <t>Summary Statistics</t>
        </is>
      </c>
    </row>
    <row r="2" ht="18" customHeight="1">
      <c r="A2" s="2" t="inlineStr">
        <is>
          <t>Mean, median, quartiles, range</t>
        </is>
      </c>
    </row>
    <row r="3" ht="32" customHeight="1">
      <c r="A3" s="5" t="inlineStr">
        <is>
          <t>Metric</t>
        </is>
      </c>
      <c r="B3" s="5" t="inlineStr">
        <is>
          <t>Native</t>
        </is>
      </c>
      <c r="C3" s="5" t="inlineStr">
        <is>
          <t>Invasive</t>
        </is>
      </c>
    </row>
    <row r="4">
      <c r="A4" s="6" t="inlineStr">
        <is>
          <t>Mean</t>
        </is>
      </c>
      <c r="B4" s="7">
        <f>AVERAGE('Native Bird'!A4:A33)</f>
        <v/>
      </c>
      <c r="C4" s="7">
        <f>AVERAGE('Invasive Bird'!A4:A33)</f>
        <v/>
      </c>
    </row>
    <row r="5">
      <c r="A5" s="6" t="inlineStr">
        <is>
          <t>Median</t>
        </is>
      </c>
      <c r="B5" s="7">
        <f>MEDIAN('Native Bird'!A4:A33)</f>
        <v/>
      </c>
      <c r="C5" s="7">
        <f>MEDIAN('Invasive Bird'!A4:A33)</f>
        <v/>
      </c>
    </row>
    <row r="6">
      <c r="A6" s="6" t="inlineStr">
        <is>
          <t>Min</t>
        </is>
      </c>
      <c r="B6" s="7">
        <f>MIN('Native Bird'!A4:A33)</f>
        <v/>
      </c>
      <c r="C6" s="7">
        <f>MIN('Invasive Bird'!A4:A33)</f>
        <v/>
      </c>
    </row>
    <row r="7">
      <c r="A7" s="6" t="inlineStr">
        <is>
          <t>Max</t>
        </is>
      </c>
      <c r="B7" s="7">
        <f>MAX('Native Bird'!A4:A33)</f>
        <v/>
      </c>
      <c r="C7" s="7">
        <f>MAX('Invasive Bird'!A4:A33)</f>
        <v/>
      </c>
    </row>
    <row r="8">
      <c r="A8" s="6" t="inlineStr">
        <is>
          <t>Range</t>
        </is>
      </c>
      <c r="B8" s="7">
        <f>B7-B6</f>
        <v/>
      </c>
      <c r="C8" s="7">
        <f>C7-C6</f>
        <v/>
      </c>
    </row>
    <row r="9">
      <c r="A9" s="6" t="inlineStr">
        <is>
          <t>Q1</t>
        </is>
      </c>
      <c r="B9" s="7">
        <f>QUARTILE('Native Bird'!A4:A33,1)</f>
        <v/>
      </c>
      <c r="C9" s="7">
        <f>QUARTILE('Invasive Bird'!A4:A33,1)</f>
        <v/>
      </c>
    </row>
    <row r="10">
      <c r="A10" s="6" t="inlineStr">
        <is>
          <t>Q3</t>
        </is>
      </c>
      <c r="B10" s="7">
        <f>QUARTILE('Native Bird'!A4:A33,3)</f>
        <v/>
      </c>
      <c r="C10" s="7">
        <f>QUARTILE('Invasive Bird'!A4:A33,3)</f>
        <v/>
      </c>
    </row>
    <row r="11">
      <c r="A11" s="6" t="inlineStr">
        <is>
          <t>IQR</t>
        </is>
      </c>
      <c r="B11" s="7">
        <f>B10-B9</f>
        <v/>
      </c>
      <c r="C11" s="7">
        <f>C10-C9</f>
        <v/>
      </c>
    </row>
    <row r="12">
      <c r="A12" s="6" t="inlineStr">
        <is>
          <t>StDev</t>
        </is>
      </c>
      <c r="B12" s="7">
        <f>STDEV('Native Bird'!A4:A33)</f>
        <v/>
      </c>
      <c r="C12" s="7">
        <f>STDEV('Invasive Bird'!A4:A33)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