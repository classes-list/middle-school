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r" sheetId="1" state="visible" r:id="rId1"/>
    <sheet xmlns:r="http://schemas.openxmlformats.org/officeDocument/2006/relationships" name="Tole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</cols>
  <sheetData>
    <row r="1" ht="26" customHeight="1">
      <c r="A1" s="1" t="inlineStr">
        <is>
          <t>Engineering Precision Number Classifier</t>
        </is>
      </c>
    </row>
    <row r="2" ht="18" customHeight="1">
      <c r="A2" s="2" t="inlineStr">
        <is>
          <t>Rational vs. irrational values</t>
        </is>
      </c>
    </row>
    <row r="3" ht="32" customHeight="1">
      <c r="A3" s="3" t="inlineStr">
        <is>
          <t>Input</t>
        </is>
      </c>
      <c r="B3" s="3" t="inlineStr">
        <is>
          <t>Decimal</t>
        </is>
      </c>
      <c r="C3" s="3" t="inlineStr">
        <is>
          <t>Auto Classify</t>
        </is>
      </c>
      <c r="D3" s="3" t="inlineStr">
        <is>
          <t>Manual Label</t>
        </is>
      </c>
    </row>
    <row r="4">
      <c r="A4" s="4" t="n">
        <v>1</v>
      </c>
      <c r="B4" s="5" t="inlineStr">
        <is>
          <t>2</t>
        </is>
      </c>
      <c r="C4" s="6">
        <f>IF(B4=INT(B4),"Integer","Check")</f>
        <v/>
      </c>
      <c r="D4" s="4" t="inlineStr">
        <is>
          <t>Rational</t>
        </is>
      </c>
    </row>
    <row r="5">
      <c r="A5" s="4" t="n">
        <v>2</v>
      </c>
      <c r="B5" s="5" t="inlineStr">
        <is>
          <t>3.14</t>
        </is>
      </c>
      <c r="C5" s="6">
        <f>IF(B5=INT(B5),"Integer","Check")</f>
        <v/>
      </c>
      <c r="D5" s="4" t="inlineStr">
        <is>
          <t>Rational</t>
        </is>
      </c>
    </row>
    <row r="6">
      <c r="A6" s="4" t="n">
        <v>3</v>
      </c>
      <c r="B6" s="7">
        <f>PI()</f>
        <v/>
      </c>
      <c r="C6" s="6">
        <f>IF(B6=INT(B6),"Integer","Check")</f>
        <v/>
      </c>
      <c r="D6" s="4" t="inlineStr">
        <is>
          <t>Irrational</t>
        </is>
      </c>
    </row>
    <row r="7">
      <c r="A7" s="4" t="n">
        <v>4</v>
      </c>
      <c r="B7" s="7">
        <f>SQRT(2)</f>
        <v/>
      </c>
      <c r="C7" s="6">
        <f>IF(B7=INT(B7),"Integer","Check")</f>
        <v/>
      </c>
      <c r="D7" s="4" t="inlineStr">
        <is>
          <t>Irrational</t>
        </is>
      </c>
    </row>
    <row r="8">
      <c r="A8" s="4" t="n">
        <v>5</v>
      </c>
      <c r="B8" s="7">
        <f>SQRT(16)</f>
        <v/>
      </c>
      <c r="C8" s="6">
        <f>IF(B8=INT(B8),"Integer","Check")</f>
        <v/>
      </c>
      <c r="D8" s="4" t="inlineStr">
        <is>
          <t>Rational</t>
        </is>
      </c>
    </row>
    <row r="9">
      <c r="A9" s="4" t="n">
        <v>6</v>
      </c>
      <c r="B9" s="5" t="inlineStr">
        <is>
          <t>0.333333</t>
        </is>
      </c>
      <c r="C9" s="6">
        <f>IF(B9=INT(B9),"Integer","Check")</f>
        <v/>
      </c>
      <c r="D9" s="4" t="inlineStr">
        <is>
          <t>Rational</t>
        </is>
      </c>
    </row>
    <row r="10">
      <c r="A10" s="4" t="n">
        <v>7</v>
      </c>
      <c r="B10" s="7">
        <f>SQRT(25)</f>
        <v/>
      </c>
      <c r="C10" s="6">
        <f>IF(B10=INT(B10),"Integer","Check")</f>
        <v/>
      </c>
      <c r="D10" s="4" t="inlineStr">
        <is>
          <t>Rational</t>
        </is>
      </c>
    </row>
    <row r="11">
      <c r="A11" s="4" t="n">
        <v>8</v>
      </c>
      <c r="B11" s="7">
        <f>SQRT(10)</f>
        <v/>
      </c>
      <c r="C11" s="6">
        <f>IF(B11=INT(B11),"Integer","Check")</f>
        <v/>
      </c>
      <c r="D11" s="4" t="inlineStr">
        <is>
          <t>Irrational</t>
        </is>
      </c>
    </row>
    <row r="12">
      <c r="A12" s="4" t="n">
        <v>9</v>
      </c>
      <c r="B12" s="5" t="inlineStr">
        <is>
          <t>7.5</t>
        </is>
      </c>
      <c r="C12" s="6">
        <f>IF(B12=INT(B12),"Integer","Check")</f>
        <v/>
      </c>
      <c r="D12" s="4" t="inlineStr">
        <is>
          <t>Rational</t>
        </is>
      </c>
    </row>
    <row r="13">
      <c r="A13" s="4" t="n">
        <v>10</v>
      </c>
      <c r="B13" s="7">
        <f>1/3</f>
        <v/>
      </c>
      <c r="C13" s="6">
        <f>IF(B13=INT(B13),"Integer","Check")</f>
        <v/>
      </c>
      <c r="D13" s="4" t="inlineStr">
        <is>
          <t>Rational</t>
        </is>
      </c>
    </row>
    <row r="14">
      <c r="A14" s="4" t="n">
        <v>11</v>
      </c>
      <c r="B14" s="7">
        <f>SQRT(3)</f>
        <v/>
      </c>
      <c r="C14" s="6">
        <f>IF(B14=INT(B14),"Integer","Check")</f>
        <v/>
      </c>
      <c r="D14" s="4" t="inlineStr">
        <is>
          <t>Irrational</t>
        </is>
      </c>
    </row>
    <row r="15">
      <c r="A15" s="4" t="n">
        <v>12</v>
      </c>
      <c r="B15" s="7">
        <f>PI()/2</f>
        <v/>
      </c>
      <c r="C15" s="6">
        <f>IF(B15=INT(B15),"Integer","Check")</f>
        <v/>
      </c>
      <c r="D15" s="4" t="inlineStr">
        <is>
          <t>Irrational</t>
        </is>
      </c>
    </row>
    <row r="16">
      <c r="A16" s="4" t="n">
        <v>13</v>
      </c>
      <c r="B16" s="5" t="inlineStr">
        <is>
          <t>0.25</t>
        </is>
      </c>
      <c r="C16" s="6">
        <f>IF(B16=INT(B16),"Integer","Check")</f>
        <v/>
      </c>
      <c r="D16" s="4" t="inlineStr">
        <is>
          <t>Rational</t>
        </is>
      </c>
    </row>
    <row r="17">
      <c r="A17" s="4" t="n">
        <v>14</v>
      </c>
      <c r="B17" s="7">
        <f>SQRT(5)</f>
        <v/>
      </c>
      <c r="C17" s="6">
        <f>IF(B17=INT(B17),"Integer","Check")</f>
        <v/>
      </c>
      <c r="D17" s="4" t="inlineStr">
        <is>
          <t>Irrational</t>
        </is>
      </c>
    </row>
    <row r="18">
      <c r="A18" s="4" t="n">
        <v>15</v>
      </c>
      <c r="B18" s="5" t="inlineStr">
        <is>
          <t>0.1</t>
        </is>
      </c>
      <c r="C18" s="6">
        <f>IF(B18=INT(B18),"Integer","Check")</f>
        <v/>
      </c>
      <c r="D18" s="4" t="inlineStr">
        <is>
          <t>Rational</t>
        </is>
      </c>
    </row>
    <row r="19">
      <c r="A19" s="4" t="n">
        <v>16</v>
      </c>
      <c r="B19" s="7">
        <f>SQRT(100)</f>
        <v/>
      </c>
      <c r="C19" s="6">
        <f>IF(B19=INT(B19),"Integer","Check")</f>
        <v/>
      </c>
      <c r="D19" s="4" t="inlineStr">
        <is>
          <t>Rational</t>
        </is>
      </c>
    </row>
    <row r="20">
      <c r="A20" s="4" t="n">
        <v>17</v>
      </c>
      <c r="B20" s="7">
        <f>2*PI()</f>
        <v/>
      </c>
      <c r="C20" s="6">
        <f>IF(B20=INT(B20),"Integer","Check")</f>
        <v/>
      </c>
      <c r="D20" s="4" t="inlineStr">
        <is>
          <t>Irrational</t>
        </is>
      </c>
    </row>
    <row r="21">
      <c r="A21" s="4" t="n">
        <v>18</v>
      </c>
      <c r="B21" s="7">
        <f>1/7</f>
        <v/>
      </c>
      <c r="C21" s="6">
        <f>IF(B21=INT(B21),"Integer","Check")</f>
        <v/>
      </c>
      <c r="D21" s="4" t="inlineStr">
        <is>
          <t>Rational</t>
        </is>
      </c>
    </row>
    <row r="22">
      <c r="A22" s="4" t="n">
        <v>19</v>
      </c>
      <c r="B22" s="7">
        <f>SQRT(0.25)</f>
        <v/>
      </c>
      <c r="C22" s="6">
        <f>IF(B22=INT(B22),"Integer","Check")</f>
        <v/>
      </c>
      <c r="D22" s="4" t="inlineStr">
        <is>
          <t>Rational</t>
        </is>
      </c>
    </row>
    <row r="23">
      <c r="A23" s="4" t="n">
        <v>20</v>
      </c>
      <c r="B23" s="7">
        <f>PI()^2</f>
        <v/>
      </c>
      <c r="C23" s="6">
        <f>IF(B23=INT(B23),"Integer","Check")</f>
        <v/>
      </c>
      <c r="D23" s="4" t="inlineStr">
        <is>
          <t>Irrational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Tolerance Model</t>
        </is>
      </c>
    </row>
    <row r="2" ht="18" customHeight="1">
      <c r="A2" s="2" t="inlineStr">
        <is>
          <t>Target ± tolerance vs. measured</t>
        </is>
      </c>
    </row>
    <row r="3" ht="32" customHeight="1">
      <c r="A3" s="3" t="inlineStr">
        <is>
          <t>Part</t>
        </is>
      </c>
      <c r="B3" s="3" t="inlineStr">
        <is>
          <t>Target</t>
        </is>
      </c>
      <c r="C3" s="3" t="inlineStr">
        <is>
          <t>Tolerance ±</t>
        </is>
      </c>
      <c r="D3" s="3" t="inlineStr">
        <is>
          <t>Min</t>
        </is>
      </c>
      <c r="E3" s="3" t="inlineStr">
        <is>
          <t>Max</t>
        </is>
      </c>
      <c r="F3" s="3" t="inlineStr">
        <is>
          <t>Measured</t>
        </is>
      </c>
      <c r="G3" s="3" t="inlineStr">
        <is>
          <t>In Spec?</t>
        </is>
      </c>
    </row>
    <row r="4">
      <c r="A4" s="4" t="inlineStr">
        <is>
          <t>Bearing</t>
        </is>
      </c>
      <c r="B4" s="8" t="n">
        <v>10</v>
      </c>
      <c r="C4" s="4" t="n">
        <v>0.005</v>
      </c>
      <c r="D4" s="9">
        <f>B4-C4</f>
        <v/>
      </c>
      <c r="E4" s="9">
        <f>B4+C4</f>
        <v/>
      </c>
      <c r="F4" s="8" t="n">
        <v>10.003</v>
      </c>
      <c r="G4" s="6">
        <f>IF(AND(F4&gt;=D4,F4&lt;=E4),"✅ Pass","❌ Fail")</f>
        <v/>
      </c>
    </row>
    <row r="5">
      <c r="A5" s="4" t="inlineStr">
        <is>
          <t>Shaft</t>
        </is>
      </c>
      <c r="B5" s="8" t="n">
        <v>25</v>
      </c>
      <c r="C5" s="4" t="n">
        <v>0.01</v>
      </c>
      <c r="D5" s="9">
        <f>B5-C5</f>
        <v/>
      </c>
      <c r="E5" s="9">
        <f>B5+C5</f>
        <v/>
      </c>
      <c r="F5" s="8" t="n">
        <v>24.995</v>
      </c>
      <c r="G5" s="6">
        <f>IF(AND(F5&gt;=D5,F5&lt;=E5),"✅ Pass","❌ Fail")</f>
        <v/>
      </c>
    </row>
    <row r="6">
      <c r="A6" s="4" t="inlineStr">
        <is>
          <t>Pin</t>
        </is>
      </c>
      <c r="B6" s="8" t="n">
        <v>5</v>
      </c>
      <c r="C6" s="4" t="n">
        <v>0.002</v>
      </c>
      <c r="D6" s="9">
        <f>B6-C6</f>
        <v/>
      </c>
      <c r="E6" s="9">
        <f>B6+C6</f>
        <v/>
      </c>
      <c r="F6" s="8" t="n">
        <v>5.001</v>
      </c>
      <c r="G6" s="6">
        <f>IF(AND(F6&gt;=D6,F6&lt;=E6),"✅ Pass","❌ Fail")</f>
        <v/>
      </c>
    </row>
    <row r="7">
      <c r="A7" s="4" t="inlineStr">
        <is>
          <t>Sleeve</t>
        </is>
      </c>
      <c r="B7" s="8" t="n">
        <v>15.5</v>
      </c>
      <c r="C7" s="4" t="n">
        <v>0.02</v>
      </c>
      <c r="D7" s="9">
        <f>B7-C7</f>
        <v/>
      </c>
      <c r="E7" s="9">
        <f>B7+C7</f>
        <v/>
      </c>
      <c r="F7" s="8" t="n">
        <v>15.535</v>
      </c>
      <c r="G7" s="6">
        <f>IF(AND(F7&gt;=D7,F7&lt;=E7),"✅ Pass","❌ Fail")</f>
        <v/>
      </c>
    </row>
    <row r="8">
      <c r="A8" s="4" t="inlineStr">
        <is>
          <t>Gear</t>
        </is>
      </c>
      <c r="B8" s="8" t="n">
        <v>8</v>
      </c>
      <c r="C8" s="4" t="n">
        <v>0.003</v>
      </c>
      <c r="D8" s="9">
        <f>B8-C8</f>
        <v/>
      </c>
      <c r="E8" s="9">
        <f>B8+C8</f>
        <v/>
      </c>
      <c r="F8" s="8" t="n">
        <v>7.999</v>
      </c>
      <c r="G8" s="6">
        <f>IF(AND(F8&gt;=D8,F8&lt;=E8),"✅ Pass","❌ Fail")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2026-04-21T19:25:53Z</dcterms:created>
  <dcterms:modified xmlns:dcterms="http://purl.org/dc/terms/" xmlns:xsi="http://www.w3.org/2001/XMLSchema-instance" xsi:type="dcterms:W3CDTF">2026-04-21T19:25:53Z</dcterms:modified>
</cp:coreProperties>
</file>