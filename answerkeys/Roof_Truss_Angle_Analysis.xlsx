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le Table" sheetId="1" state="visible" r:id="rId1"/>
    <sheet xmlns:r="http://schemas.openxmlformats.org/officeDocument/2006/relationships" name="Truss Model" sheetId="2" state="visible" r:id="rId2"/>
    <sheet xmlns:r="http://schemas.openxmlformats.org/officeDocument/2006/relationships" name="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Apex and Supplementary by Pitch</a:t>
            </a:r>
          </a:p>
        </rich>
      </tx>
    </title>
    <plotArea>
      <lineChart>
        <grouping val="standard"/>
        <ser>
          <idx val="0"/>
          <order val="0"/>
          <tx>
            <strRef>
              <f>'Chart'!B3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'Chart'!$A$4:$A$13</f>
            </numRef>
          </cat>
          <val>
            <numRef>
              <f>'Chart'!$B$4:$B$13</f>
            </numRef>
          </val>
        </ser>
        <ser>
          <idx val="1"/>
          <order val="1"/>
          <tx>
            <strRef>
              <f>'Chart'!C3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'Chart'!$A$4:$A$13</f>
            </numRef>
          </cat>
          <val>
            <numRef>
              <f>'Chart'!$C$4:$C$13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 ht="26" customHeight="1">
      <c r="A1" s="1" t="inlineStr">
        <is>
          <t>Roof Truss Angle Relationships</t>
        </is>
      </c>
    </row>
    <row r="2" ht="18" customHeight="1">
      <c r="A2" s="2" t="inlineStr">
        <is>
          <t>Pitch, supplementary, complementary, co-interior</t>
        </is>
      </c>
    </row>
    <row r="3" ht="32" customHeight="1">
      <c r="A3" s="3" t="inlineStr">
        <is>
          <t>Pitch (°)</t>
        </is>
      </c>
      <c r="B3" s="3" t="inlineStr">
        <is>
          <t>Supplementary</t>
        </is>
      </c>
      <c r="C3" s="3" t="inlineStr">
        <is>
          <t>Complementary</t>
        </is>
      </c>
      <c r="D3" s="3" t="inlineStr">
        <is>
          <t>Co-interior</t>
        </is>
      </c>
      <c r="E3" s="3" t="inlineStr">
        <is>
          <t>Vertical</t>
        </is>
      </c>
    </row>
    <row r="4">
      <c r="A4" s="4" t="n">
        <v>15</v>
      </c>
      <c r="B4" s="5">
        <f>180-A4</f>
        <v/>
      </c>
      <c r="C4" s="5">
        <f>90-A4</f>
        <v/>
      </c>
      <c r="D4" s="5">
        <f>180-A4</f>
        <v/>
      </c>
      <c r="E4" s="5">
        <f>A4</f>
        <v/>
      </c>
    </row>
    <row r="5">
      <c r="A5" s="4" t="n">
        <v>20</v>
      </c>
      <c r="B5" s="5">
        <f>180-A5</f>
        <v/>
      </c>
      <c r="C5" s="5">
        <f>90-A5</f>
        <v/>
      </c>
      <c r="D5" s="5">
        <f>180-A5</f>
        <v/>
      </c>
      <c r="E5" s="5">
        <f>A5</f>
        <v/>
      </c>
    </row>
    <row r="6">
      <c r="A6" s="4" t="n">
        <v>25</v>
      </c>
      <c r="B6" s="5">
        <f>180-A6</f>
        <v/>
      </c>
      <c r="C6" s="5">
        <f>90-A6</f>
        <v/>
      </c>
      <c r="D6" s="5">
        <f>180-A6</f>
        <v/>
      </c>
      <c r="E6" s="5">
        <f>A6</f>
        <v/>
      </c>
    </row>
    <row r="7">
      <c r="A7" s="4" t="n">
        <v>30</v>
      </c>
      <c r="B7" s="5">
        <f>180-A7</f>
        <v/>
      </c>
      <c r="C7" s="5">
        <f>90-A7</f>
        <v/>
      </c>
      <c r="D7" s="5">
        <f>180-A7</f>
        <v/>
      </c>
      <c r="E7" s="5">
        <f>A7</f>
        <v/>
      </c>
    </row>
    <row r="8">
      <c r="A8" s="4" t="n">
        <v>35</v>
      </c>
      <c r="B8" s="5">
        <f>180-A8</f>
        <v/>
      </c>
      <c r="C8" s="5">
        <f>90-A8</f>
        <v/>
      </c>
      <c r="D8" s="5">
        <f>180-A8</f>
        <v/>
      </c>
      <c r="E8" s="5">
        <f>A8</f>
        <v/>
      </c>
    </row>
    <row r="9">
      <c r="A9" s="4" t="n">
        <v>40</v>
      </c>
      <c r="B9" s="5">
        <f>180-A9</f>
        <v/>
      </c>
      <c r="C9" s="5">
        <f>90-A9</f>
        <v/>
      </c>
      <c r="D9" s="5">
        <f>180-A9</f>
        <v/>
      </c>
      <c r="E9" s="5">
        <f>A9</f>
        <v/>
      </c>
    </row>
    <row r="10">
      <c r="A10" s="4" t="n">
        <v>45</v>
      </c>
      <c r="B10" s="5">
        <f>180-A10</f>
        <v/>
      </c>
      <c r="C10" s="5">
        <f>90-A10</f>
        <v/>
      </c>
      <c r="D10" s="5">
        <f>180-A10</f>
        <v/>
      </c>
      <c r="E10" s="5">
        <f>A10</f>
        <v/>
      </c>
    </row>
    <row r="11">
      <c r="A11" s="4" t="n">
        <v>50</v>
      </c>
      <c r="B11" s="5">
        <f>180-A11</f>
        <v/>
      </c>
      <c r="C11" s="5">
        <f>90-A11</f>
        <v/>
      </c>
      <c r="D11" s="5">
        <f>180-A11</f>
        <v/>
      </c>
      <c r="E11" s="5">
        <f>A11</f>
        <v/>
      </c>
    </row>
    <row r="12">
      <c r="A12" s="4" t="n">
        <v>55</v>
      </c>
      <c r="B12" s="5">
        <f>180-A12</f>
        <v/>
      </c>
      <c r="C12" s="5">
        <f>90-A12</f>
        <v/>
      </c>
      <c r="D12" s="5">
        <f>180-A12</f>
        <v/>
      </c>
      <c r="E12" s="5">
        <f>A12</f>
        <v/>
      </c>
    </row>
    <row r="13">
      <c r="A13" s="4" t="n">
        <v>60</v>
      </c>
      <c r="B13" s="5">
        <f>180-A13</f>
        <v/>
      </c>
      <c r="C13" s="5">
        <f>90-A13</f>
        <v/>
      </c>
      <c r="D13" s="5">
        <f>180-A13</f>
        <v/>
      </c>
      <c r="E13" s="5">
        <f>A13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Balanced Roof Truss (Isosceles)</t>
        </is>
      </c>
    </row>
    <row r="2" ht="18" customHeight="1">
      <c r="A2" s="2" t="inlineStr">
        <is>
          <t>All interior angles sum to 180°</t>
        </is>
      </c>
    </row>
    <row r="3" ht="32" customHeight="1">
      <c r="A3" s="3" t="inlineStr">
        <is>
          <t>Pitch (°)</t>
        </is>
      </c>
      <c r="B3" s="3" t="inlineStr">
        <is>
          <t>Base Angle</t>
        </is>
      </c>
      <c r="C3" s="3" t="inlineStr">
        <is>
          <t>Apex Angle</t>
        </is>
      </c>
      <c r="D3" s="3" t="inlineStr">
        <is>
          <t>Sum Check</t>
        </is>
      </c>
    </row>
    <row r="4">
      <c r="A4" s="4" t="n">
        <v>15</v>
      </c>
      <c r="B4" s="5">
        <f>A4</f>
        <v/>
      </c>
      <c r="C4" s="5">
        <f>180-2*A4</f>
        <v/>
      </c>
      <c r="D4" s="5">
        <f>A4+B4+C4</f>
        <v/>
      </c>
    </row>
    <row r="5">
      <c r="A5" s="4" t="n">
        <v>20</v>
      </c>
      <c r="B5" s="5">
        <f>A5</f>
        <v/>
      </c>
      <c r="C5" s="5">
        <f>180-2*A5</f>
        <v/>
      </c>
      <c r="D5" s="5">
        <f>A5+B5+C5</f>
        <v/>
      </c>
    </row>
    <row r="6">
      <c r="A6" s="4" t="n">
        <v>25</v>
      </c>
      <c r="B6" s="5">
        <f>A6</f>
        <v/>
      </c>
      <c r="C6" s="5">
        <f>180-2*A6</f>
        <v/>
      </c>
      <c r="D6" s="5">
        <f>A6+B6+C6</f>
        <v/>
      </c>
    </row>
    <row r="7">
      <c r="A7" s="4" t="n">
        <v>30</v>
      </c>
      <c r="B7" s="5">
        <f>A7</f>
        <v/>
      </c>
      <c r="C7" s="5">
        <f>180-2*A7</f>
        <v/>
      </c>
      <c r="D7" s="5">
        <f>A7+B7+C7</f>
        <v/>
      </c>
    </row>
    <row r="8">
      <c r="A8" s="4" t="n">
        <v>35</v>
      </c>
      <c r="B8" s="5">
        <f>A8</f>
        <v/>
      </c>
      <c r="C8" s="5">
        <f>180-2*A8</f>
        <v/>
      </c>
      <c r="D8" s="5">
        <f>A8+B8+C8</f>
        <v/>
      </c>
    </row>
    <row r="9">
      <c r="A9" s="4" t="n">
        <v>40</v>
      </c>
      <c r="B9" s="5">
        <f>A9</f>
        <v/>
      </c>
      <c r="C9" s="5">
        <f>180-2*A9</f>
        <v/>
      </c>
      <c r="D9" s="5">
        <f>A9+B9+C9</f>
        <v/>
      </c>
    </row>
    <row r="10">
      <c r="A10" s="4" t="n">
        <v>45</v>
      </c>
      <c r="B10" s="5">
        <f>A10</f>
        <v/>
      </c>
      <c r="C10" s="5">
        <f>180-2*A10</f>
        <v/>
      </c>
      <c r="D10" s="5">
        <f>A10+B10+C10</f>
        <v/>
      </c>
    </row>
    <row r="11">
      <c r="A11" s="4" t="n">
        <v>50</v>
      </c>
      <c r="B11" s="5">
        <f>A11</f>
        <v/>
      </c>
      <c r="C11" s="5">
        <f>180-2*A11</f>
        <v/>
      </c>
      <c r="D11" s="5">
        <f>A11+B11+C11</f>
        <v/>
      </c>
    </row>
    <row r="12">
      <c r="A12" s="4" t="n">
        <v>55</v>
      </c>
      <c r="B12" s="5">
        <f>A12</f>
        <v/>
      </c>
      <c r="C12" s="5">
        <f>180-2*A12</f>
        <v/>
      </c>
      <c r="D12" s="5">
        <f>A12+B12+C12</f>
        <v/>
      </c>
    </row>
    <row r="13">
      <c r="A13" s="4" t="n">
        <v>60</v>
      </c>
      <c r="B13" s="5">
        <f>A13</f>
        <v/>
      </c>
      <c r="C13" s="5">
        <f>180-2*A13</f>
        <v/>
      </c>
      <c r="D13" s="5">
        <f>A13+B13+C13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Apex vs. Pitch Angle</t>
        </is>
      </c>
    </row>
    <row r="2" ht="18" customHeight="1">
      <c r="A2" s="2" t="inlineStr">
        <is>
          <t>Visualize the relationship</t>
        </is>
      </c>
    </row>
    <row r="3" ht="32" customHeight="1">
      <c r="A3" s="3" t="inlineStr">
        <is>
          <t>Pitch</t>
        </is>
      </c>
      <c r="B3" s="3" t="inlineStr">
        <is>
          <t>Apex</t>
        </is>
      </c>
      <c r="C3" s="3" t="inlineStr">
        <is>
          <t>Supplementary</t>
        </is>
      </c>
    </row>
    <row r="4">
      <c r="A4" s="4" t="n">
        <v>15</v>
      </c>
      <c r="B4" s="5">
        <f>180-2*A4</f>
        <v/>
      </c>
      <c r="C4" s="5">
        <f>180-A4</f>
        <v/>
      </c>
    </row>
    <row r="5">
      <c r="A5" s="4" t="n">
        <v>20</v>
      </c>
      <c r="B5" s="5">
        <f>180-2*A5</f>
        <v/>
      </c>
      <c r="C5" s="5">
        <f>180-A5</f>
        <v/>
      </c>
    </row>
    <row r="6">
      <c r="A6" s="4" t="n">
        <v>25</v>
      </c>
      <c r="B6" s="5">
        <f>180-2*A6</f>
        <v/>
      </c>
      <c r="C6" s="5">
        <f>180-A6</f>
        <v/>
      </c>
    </row>
    <row r="7">
      <c r="A7" s="4" t="n">
        <v>30</v>
      </c>
      <c r="B7" s="5">
        <f>180-2*A7</f>
        <v/>
      </c>
      <c r="C7" s="5">
        <f>180-A7</f>
        <v/>
      </c>
    </row>
    <row r="8">
      <c r="A8" s="4" t="n">
        <v>35</v>
      </c>
      <c r="B8" s="5">
        <f>180-2*A8</f>
        <v/>
      </c>
      <c r="C8" s="5">
        <f>180-A8</f>
        <v/>
      </c>
    </row>
    <row r="9">
      <c r="A9" s="4" t="n">
        <v>40</v>
      </c>
      <c r="B9" s="5">
        <f>180-2*A9</f>
        <v/>
      </c>
      <c r="C9" s="5">
        <f>180-A9</f>
        <v/>
      </c>
    </row>
    <row r="10">
      <c r="A10" s="4" t="n">
        <v>45</v>
      </c>
      <c r="B10" s="5">
        <f>180-2*A10</f>
        <v/>
      </c>
      <c r="C10" s="5">
        <f>180-A10</f>
        <v/>
      </c>
    </row>
    <row r="11">
      <c r="A11" s="4" t="n">
        <v>50</v>
      </c>
      <c r="B11" s="5">
        <f>180-2*A11</f>
        <v/>
      </c>
      <c r="C11" s="5">
        <f>180-A11</f>
        <v/>
      </c>
    </row>
    <row r="12">
      <c r="A12" s="4" t="n">
        <v>55</v>
      </c>
      <c r="B12" s="5">
        <f>180-2*A12</f>
        <v/>
      </c>
      <c r="C12" s="5">
        <f>180-A12</f>
        <v/>
      </c>
    </row>
    <row r="13">
      <c r="A13" s="4" t="n">
        <v>60</v>
      </c>
      <c r="B13" s="5">
        <f>180-2*A13</f>
        <v/>
      </c>
      <c r="C13" s="5">
        <f>180-A13</f>
        <v/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2026-04-21T19:29:37Z</dcterms:created>
  <dcterms:modified xmlns:dcterms="http://purl.org/dc/terms/" xmlns:xsi="http://www.w3.org/2001/XMLSchema-instance" xsi:type="dcterms:W3CDTF">2026-04-21T19:29:37Z</dcterms:modified>
</cp:coreProperties>
</file>