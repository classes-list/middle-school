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ston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</cols>
  <sheetData>
    <row r="1" ht="26" customHeight="1">
      <c r="A1" s="1" t="inlineStr">
        <is>
          <t>Ecosystem Prediction Report — Capstone</t>
        </is>
      </c>
    </row>
    <row r="2" ht="18" customHeight="1">
      <c r="A2" s="2" t="inlineStr">
        <is>
          <t>Coral Reef / Rainforest / Wetland / Open Ocean</t>
        </is>
      </c>
    </row>
    <row r="3" ht="32" customHeight="1">
      <c r="A3" s="3" t="inlineStr">
        <is>
          <t>Metric</t>
        </is>
      </c>
      <c r="B3" s="3" t="inlineStr">
        <is>
          <t>Current Value</t>
        </is>
      </c>
      <c r="C3" s="3" t="inlineStr">
        <is>
          <t>10-yr Projection</t>
        </is>
      </c>
      <c r="D3" s="3" t="inlineStr">
        <is>
          <t>Status</t>
        </is>
      </c>
    </row>
    <row r="4">
      <c r="A4" s="4" t="inlineStr">
        <is>
          <t>Coral coverage %</t>
        </is>
      </c>
      <c r="B4" s="4" t="n">
        <v>45</v>
      </c>
      <c r="C4" s="5">
        <f>B4*(1-0.05)^10</f>
        <v/>
      </c>
      <c r="D4" s="6">
        <f>IF(C4&lt;30,"🚨 Critical","⚠ Declining")</f>
        <v/>
      </c>
    </row>
    <row r="5">
      <c r="A5" s="4" t="inlineStr">
        <is>
          <t>Fish biomass (kg/m²)</t>
        </is>
      </c>
      <c r="B5" s="4" t="n">
        <v>1.2</v>
      </c>
      <c r="C5" s="5">
        <f>B5*(1-0.03)^10</f>
        <v/>
      </c>
      <c r="D5" s="6">
        <f>IF(C5&lt;0.8,"⚠ Declining","✅ Stable")</f>
        <v/>
      </c>
    </row>
    <row r="6">
      <c r="A6" s="4" t="inlineStr">
        <is>
          <t>Water temp (°C)</t>
        </is>
      </c>
      <c r="B6" s="4" t="n">
        <v>27.5</v>
      </c>
      <c r="C6" s="5">
        <f>B6+0.05*10</f>
        <v/>
      </c>
      <c r="D6" s="6">
        <f>IF(C6&gt;28.5,"🚨 Bleaching","✅ Safe")</f>
        <v/>
      </c>
    </row>
    <row r="7">
      <c r="A7" s="4" t="inlineStr">
        <is>
          <t>pH</t>
        </is>
      </c>
      <c r="B7" s="4" t="n">
        <v>8.1</v>
      </c>
      <c r="C7" s="5">
        <f>B7-0.02*10/10</f>
        <v/>
      </c>
      <c r="D7" s="6">
        <f>IF(C7&lt;7.9,"⚠ Acidifying","✅ Safe")</f>
        <v/>
      </c>
    </row>
    <row r="8">
      <c r="A8" s="4" t="inlineStr">
        <is>
          <t>Species richness</t>
        </is>
      </c>
      <c r="B8" s="4" t="n">
        <v>120</v>
      </c>
      <c r="C8" s="5">
        <f>B8*(1-0.02)^10</f>
        <v/>
      </c>
      <c r="D8" s="6">
        <f>IF(C8&lt;100,"⚠ Loss","✅ Healthy")</f>
        <v/>
      </c>
    </row>
    <row r="9">
      <c r="A9" s="4" t="inlineStr">
        <is>
          <t>Invasive %</t>
        </is>
      </c>
      <c r="B9" s="4" t="n">
        <v>15</v>
      </c>
      <c r="C9" s="5">
        <f>B9*(1+0.08)^10</f>
        <v/>
      </c>
      <c r="D9" s="6">
        <f>IF(C9&gt;30,"🚨 Crisis","⚠ Spread")</f>
        <v/>
      </c>
    </row>
    <row r="10">
      <c r="A10" s="4" t="inlineStr">
        <is>
          <t>Protected area %</t>
        </is>
      </c>
      <c r="B10" s="4" t="n">
        <v>22</v>
      </c>
      <c r="C10" s="5">
        <f>B10*(1+0.03)^10</f>
        <v/>
      </c>
      <c r="D10" s="6">
        <f>IF(C10&gt;35,"✅ Improving","⚠ Needs work")</f>
        <v/>
      </c>
    </row>
    <row r="13">
      <c r="A13" s="7" t="inlineStr">
        <is>
          <t>Health Score (% critical):</t>
        </is>
      </c>
      <c r="B13" s="8">
        <f>COUNTIF(D4:D10,"*Critical*")/COUNTA(D4:D10)*100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