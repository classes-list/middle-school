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ts" sheetId="1" state="visible" r:id="rId1"/>
    <sheet xmlns:r="http://schemas.openxmlformats.org/officeDocument/2006/relationships" name="Speeds" sheetId="2" state="visible" r:id="rId2"/>
    <sheet xmlns:r="http://schemas.openxmlformats.org/officeDocument/2006/relationships" name="Earth@Mars" sheetId="3" state="visible" r:id="rId3"/>
    <sheet xmlns:r="http://schemas.openxmlformats.org/officeDocument/2006/relationships" name="Exoplanets" sheetId="4" state="visible" r:id="rId4"/>
    <sheet xmlns:r="http://schemas.openxmlformats.org/officeDocument/2006/relationships" name="Ch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2" fontId="5" fillId="0" borderId="0" pivotButton="0" quotePrefix="0" xfId="0"/>
    <xf numFmtId="164" fontId="5" fillId="0" borderId="0" pivotButton="0" quotePrefix="0" xfId="0"/>
    <xf numFmtId="11" fontId="4" fillId="0" borderId="0" pivotButton="0" quotePrefix="0" xfId="0"/>
    <xf numFmtId="3" fontId="5" fillId="0" borderId="0" pivotButton="0" quotePrefix="0" xfId="0"/>
    <xf numFmtId="165" fontId="5" fillId="0" borderId="0" pivotButton="0" quotePrefix="0" xfId="0"/>
    <xf numFmtId="0" fontId="6" fillId="0" borderId="0" pivotButton="0" quotePrefix="0" xfId="0"/>
    <xf numFmtId="166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 vs. a</a:t>
            </a:r>
          </a:p>
        </rich>
      </tx>
    </title>
    <plotArea>
      <scatterChart>
        <ser>
          <idx val="0"/>
          <order val="0"/>
          <tx>
            <v>T(a)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'Chart'!$B$4:$B$11</f>
            </numRef>
          </xVal>
          <yVal>
            <numRef>
              <f>'Chart'!$C$4:$C$11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Kepler's Third Law: T² = a³ (AU, years)</t>
        </is>
      </c>
    </row>
    <row r="2" ht="18" customHeight="1">
      <c r="A2" s="2" t="inlineStr">
        <is>
          <t>Orbital period vs. semi-major axis</t>
        </is>
      </c>
    </row>
    <row r="3" ht="32" customHeight="1">
      <c r="A3" s="3" t="inlineStr">
        <is>
          <t>Planet</t>
        </is>
      </c>
      <c r="B3" s="3" t="inlineStr">
        <is>
          <t>a (AU)</t>
        </is>
      </c>
      <c r="C3" s="3" t="inlineStr">
        <is>
          <t>T (yrs)</t>
        </is>
      </c>
      <c r="D3" s="3" t="inlineStr">
        <is>
          <t>T²</t>
        </is>
      </c>
      <c r="E3" s="3" t="inlineStr">
        <is>
          <t>a³</t>
        </is>
      </c>
      <c r="F3" s="3" t="inlineStr">
        <is>
          <t>T²/a³</t>
        </is>
      </c>
    </row>
    <row r="4">
      <c r="A4" s="4" t="inlineStr">
        <is>
          <t>Mercury</t>
        </is>
      </c>
      <c r="B4" s="4" t="n">
        <v>0.387</v>
      </c>
      <c r="C4" s="4" t="n">
        <v>0.241</v>
      </c>
      <c r="D4" s="5">
        <f>C4^2</f>
        <v/>
      </c>
      <c r="E4" s="5">
        <f>B4^3</f>
        <v/>
      </c>
      <c r="F4" s="6">
        <f>D4/E4</f>
        <v/>
      </c>
    </row>
    <row r="5">
      <c r="A5" s="4" t="inlineStr">
        <is>
          <t>Venus</t>
        </is>
      </c>
      <c r="B5" s="4" t="n">
        <v>0.723</v>
      </c>
      <c r="C5" s="4" t="n">
        <v>0.615</v>
      </c>
      <c r="D5" s="5">
        <f>C5^2</f>
        <v/>
      </c>
      <c r="E5" s="5">
        <f>B5^3</f>
        <v/>
      </c>
      <c r="F5" s="6">
        <f>D5/E5</f>
        <v/>
      </c>
    </row>
    <row r="6">
      <c r="A6" s="4" t="inlineStr">
        <is>
          <t>Earth</t>
        </is>
      </c>
      <c r="B6" s="4" t="n">
        <v>1</v>
      </c>
      <c r="C6" s="4" t="n">
        <v>1</v>
      </c>
      <c r="D6" s="5">
        <f>C6^2</f>
        <v/>
      </c>
      <c r="E6" s="5">
        <f>B6^3</f>
        <v/>
      </c>
      <c r="F6" s="6">
        <f>D6/E6</f>
        <v/>
      </c>
    </row>
    <row r="7">
      <c r="A7" s="4" t="inlineStr">
        <is>
          <t>Mars</t>
        </is>
      </c>
      <c r="B7" s="4" t="n">
        <v>1.524</v>
      </c>
      <c r="C7" s="4" t="n">
        <v>1.881</v>
      </c>
      <c r="D7" s="5">
        <f>C7^2</f>
        <v/>
      </c>
      <c r="E7" s="5">
        <f>B7^3</f>
        <v/>
      </c>
      <c r="F7" s="6">
        <f>D7/E7</f>
        <v/>
      </c>
    </row>
    <row r="8">
      <c r="A8" s="4" t="inlineStr">
        <is>
          <t>Jupiter</t>
        </is>
      </c>
      <c r="B8" s="4" t="n">
        <v>5.203</v>
      </c>
      <c r="C8" s="4" t="n">
        <v>11.86</v>
      </c>
      <c r="D8" s="5">
        <f>C8^2</f>
        <v/>
      </c>
      <c r="E8" s="5">
        <f>B8^3</f>
        <v/>
      </c>
      <c r="F8" s="6">
        <f>D8/E8</f>
        <v/>
      </c>
    </row>
    <row r="9">
      <c r="A9" s="4" t="inlineStr">
        <is>
          <t>Saturn</t>
        </is>
      </c>
      <c r="B9" s="4" t="n">
        <v>9.537000000000001</v>
      </c>
      <c r="C9" s="4" t="n">
        <v>29.46</v>
      </c>
      <c r="D9" s="5">
        <f>C9^2</f>
        <v/>
      </c>
      <c r="E9" s="5">
        <f>B9^3</f>
        <v/>
      </c>
      <c r="F9" s="6">
        <f>D9/E9</f>
        <v/>
      </c>
    </row>
    <row r="10">
      <c r="A10" s="4" t="inlineStr">
        <is>
          <t>Uranus</t>
        </is>
      </c>
      <c r="B10" s="4" t="n">
        <v>19.19</v>
      </c>
      <c r="C10" s="4" t="n">
        <v>84.01000000000001</v>
      </c>
      <c r="D10" s="5">
        <f>C10^2</f>
        <v/>
      </c>
      <c r="E10" s="5">
        <f>B10^3</f>
        <v/>
      </c>
      <c r="F10" s="6">
        <f>D10/E10</f>
        <v/>
      </c>
    </row>
    <row r="11">
      <c r="A11" s="4" t="inlineStr">
        <is>
          <t>Neptune</t>
        </is>
      </c>
      <c r="B11" s="4" t="n">
        <v>30.07</v>
      </c>
      <c r="C11" s="4" t="n">
        <v>164.8</v>
      </c>
      <c r="D11" s="5">
        <f>C11^2</f>
        <v/>
      </c>
      <c r="E11" s="5">
        <f>B11^3</f>
        <v/>
      </c>
      <c r="F11" s="6">
        <f>D11/E11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Orbital Speed v = 2πr/T</t>
        </is>
      </c>
    </row>
    <row r="2" ht="18" customHeight="1">
      <c r="A2" s="2" t="inlineStr">
        <is>
          <t>Meters per second</t>
        </is>
      </c>
    </row>
    <row r="3" ht="32" customHeight="1">
      <c r="A3" s="3" t="inlineStr">
        <is>
          <t>Planet</t>
        </is>
      </c>
      <c r="B3" s="3" t="inlineStr">
        <is>
          <t>r (m)</t>
        </is>
      </c>
      <c r="C3" s="3" t="inlineStr">
        <is>
          <t>T (s)</t>
        </is>
      </c>
      <c r="D3" s="3" t="inlineStr">
        <is>
          <t>v (m/s)</t>
        </is>
      </c>
    </row>
    <row r="4">
      <c r="A4" s="4" t="inlineStr">
        <is>
          <t>Mercury</t>
        </is>
      </c>
      <c r="B4" s="7" t="n">
        <v>57900000000</v>
      </c>
      <c r="C4" s="7" t="n">
        <v>7600000</v>
      </c>
      <c r="D4" s="8">
        <f>2*PI()*B4/C4</f>
        <v/>
      </c>
    </row>
    <row r="5">
      <c r="A5" s="4" t="inlineStr">
        <is>
          <t>Venus</t>
        </is>
      </c>
      <c r="B5" s="7" t="n">
        <v>108000000000</v>
      </c>
      <c r="C5" s="7" t="n">
        <v>19400000</v>
      </c>
      <c r="D5" s="8">
        <f>2*PI()*B5/C5</f>
        <v/>
      </c>
    </row>
    <row r="6">
      <c r="A6" s="4" t="inlineStr">
        <is>
          <t>Earth</t>
        </is>
      </c>
      <c r="B6" s="7" t="n">
        <v>149600000000</v>
      </c>
      <c r="C6" s="7" t="n">
        <v>31540000</v>
      </c>
      <c r="D6" s="8">
        <f>2*PI()*B6/C6</f>
        <v/>
      </c>
    </row>
    <row r="7">
      <c r="A7" s="4" t="inlineStr">
        <is>
          <t>Mars</t>
        </is>
      </c>
      <c r="B7" s="7" t="n">
        <v>228000000000</v>
      </c>
      <c r="C7" s="7" t="n">
        <v>59400000</v>
      </c>
      <c r="D7" s="8">
        <f>2*PI()*B7/C7</f>
        <v/>
      </c>
    </row>
    <row r="8">
      <c r="A8" s="4" t="inlineStr">
        <is>
          <t>Jupiter</t>
        </is>
      </c>
      <c r="B8" s="7" t="n">
        <v>778000000000</v>
      </c>
      <c r="C8" s="7" t="n">
        <v>374000000</v>
      </c>
      <c r="D8" s="8">
        <f>2*PI()*B8/C8</f>
        <v/>
      </c>
    </row>
    <row r="9">
      <c r="A9" s="4" t="inlineStr">
        <is>
          <t>Saturn</t>
        </is>
      </c>
      <c r="B9" s="7" t="n">
        <v>1430000000000</v>
      </c>
      <c r="C9" s="7" t="n">
        <v>930000000</v>
      </c>
      <c r="D9" s="8">
        <f>2*PI()*B9/C9</f>
        <v/>
      </c>
    </row>
    <row r="10">
      <c r="A10" s="4" t="inlineStr">
        <is>
          <t>Uranus</t>
        </is>
      </c>
      <c r="B10" s="7" t="n">
        <v>2870000000000</v>
      </c>
      <c r="C10" s="7" t="n">
        <v>2650000000</v>
      </c>
      <c r="D10" s="8">
        <f>2*PI()*B10/C10</f>
        <v/>
      </c>
    </row>
    <row r="11">
      <c r="A11" s="4" t="inlineStr">
        <is>
          <t>Neptune</t>
        </is>
      </c>
      <c r="B11" s="7" t="n">
        <v>4500000000000</v>
      </c>
      <c r="C11" s="7" t="n">
        <v>5200000000</v>
      </c>
      <c r="D11" s="8">
        <f>2*PI()*B11/C11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If Earth orbited at a = 1.524 AU</t>
        </is>
      </c>
    </row>
    <row r="2" ht="18" customHeight="1">
      <c r="A2" s="2" t="inlineStr">
        <is>
          <t>Kepler: T = a^(3/2)</t>
        </is>
      </c>
    </row>
    <row r="3" ht="32" customHeight="1">
      <c r="A3" s="3" t="inlineStr">
        <is>
          <t>Scenario</t>
        </is>
      </c>
      <c r="B3" s="3" t="inlineStr">
        <is>
          <t>a (AU)</t>
        </is>
      </c>
      <c r="C3" s="3" t="inlineStr">
        <is>
          <t>T (yrs)</t>
        </is>
      </c>
    </row>
    <row r="4">
      <c r="A4" s="4" t="inlineStr">
        <is>
          <t>Current Earth</t>
        </is>
      </c>
      <c r="B4" s="4" t="n">
        <v>1</v>
      </c>
      <c r="C4" s="9">
        <f>B4^1.5</f>
        <v/>
      </c>
    </row>
    <row r="5">
      <c r="A5" s="4" t="inlineStr">
        <is>
          <t>At Mars orbit</t>
        </is>
      </c>
      <c r="B5" s="4" t="n">
        <v>1.524</v>
      </c>
      <c r="C5" s="9">
        <f>B5^1.5</f>
        <v/>
      </c>
    </row>
    <row r="6">
      <c r="A6" s="10" t="inlineStr">
        <is>
          <t>Days</t>
        </is>
      </c>
      <c r="C6" s="11">
        <f>C5*365.25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Exoplanet Habitability</t>
        </is>
      </c>
    </row>
    <row r="2" ht="18" customHeight="1">
      <c r="A2" s="2" t="inlineStr">
        <is>
          <t>Habitable if 0.95 ≤ a ≤ 1.37 AU</t>
        </is>
      </c>
    </row>
    <row r="3" ht="32" customHeight="1">
      <c r="A3" s="3" t="inlineStr">
        <is>
          <t>Name</t>
        </is>
      </c>
      <c r="B3" s="3" t="inlineStr">
        <is>
          <t>a (AU)</t>
        </is>
      </c>
      <c r="C3" s="3" t="inlineStr">
        <is>
          <t>T (days)</t>
        </is>
      </c>
      <c r="D3" s="3" t="inlineStr">
        <is>
          <t>Habitable?</t>
        </is>
      </c>
      <c r="E3" s="3" t="inlineStr">
        <is>
          <t>Star Match</t>
        </is>
      </c>
    </row>
    <row r="4">
      <c r="A4" s="4" t="inlineStr">
        <is>
          <t>Kepler-22b</t>
        </is>
      </c>
      <c r="B4" s="4" t="n">
        <v>0.849</v>
      </c>
      <c r="C4" s="4" t="n">
        <v>290</v>
      </c>
      <c r="D4" s="12">
        <f>IF(AND(B4&gt;=0.95,B4&lt;=1.37),"Yes","No")</f>
        <v/>
      </c>
      <c r="E4" s="12">
        <f>ROUND((T/365.25)^2/B4^3,3)</f>
        <v/>
      </c>
    </row>
    <row r="5">
      <c r="A5" s="4" t="inlineStr">
        <is>
          <t>Kepler-186f</t>
        </is>
      </c>
      <c r="B5" s="4" t="n">
        <v>0.356</v>
      </c>
      <c r="C5" s="4" t="n">
        <v>130</v>
      </c>
      <c r="D5" s="12">
        <f>IF(AND(B5&gt;=0.95,B5&lt;=1.37),"Yes","No")</f>
        <v/>
      </c>
      <c r="E5" s="12">
        <f>ROUND((T/365.25)^2/B5^3,3)</f>
        <v/>
      </c>
    </row>
    <row r="6">
      <c r="A6" s="4" t="inlineStr">
        <is>
          <t>Proxima Cen b</t>
        </is>
      </c>
      <c r="B6" s="4" t="n">
        <v>0.049</v>
      </c>
      <c r="C6" s="4" t="n">
        <v>11.2</v>
      </c>
      <c r="D6" s="12">
        <f>IF(AND(B6&gt;=0.95,B6&lt;=1.37),"Yes","No")</f>
        <v/>
      </c>
      <c r="E6" s="12">
        <f>ROUND((T/365.25)^2/B6^3,3)</f>
        <v/>
      </c>
    </row>
    <row r="7">
      <c r="A7" s="4" t="inlineStr">
        <is>
          <t>TRAPPIST-1e</t>
        </is>
      </c>
      <c r="B7" s="4" t="n">
        <v>0.029</v>
      </c>
      <c r="C7" s="4" t="n">
        <v>6.1</v>
      </c>
      <c r="D7" s="12">
        <f>IF(AND(B7&gt;=0.95,B7&lt;=1.37),"Yes","No")</f>
        <v/>
      </c>
      <c r="E7" s="12">
        <f>ROUND((T/365.25)^2/B7^3,3)</f>
        <v/>
      </c>
    </row>
    <row r="8">
      <c r="A8" s="4" t="inlineStr">
        <is>
          <t>HD 209458b</t>
        </is>
      </c>
      <c r="B8" s="4" t="n">
        <v>0.047</v>
      </c>
      <c r="C8" s="4" t="n">
        <v>3.5</v>
      </c>
      <c r="D8" s="12">
        <f>IF(AND(B8&gt;=0.95,B8&lt;=1.37),"Yes","No")</f>
        <v/>
      </c>
      <c r="E8" s="12">
        <f>ROUND((T/365.25)^2/B8^3,3)</f>
        <v/>
      </c>
    </row>
    <row r="9">
      <c r="A9" s="4" t="inlineStr">
        <is>
          <t>Kepler-452b</t>
        </is>
      </c>
      <c r="B9" s="4" t="n">
        <v>1.046</v>
      </c>
      <c r="C9" s="4" t="n">
        <v>385</v>
      </c>
      <c r="D9" s="12">
        <f>IF(AND(B9&gt;=0.95,B9&lt;=1.37),"Yes","No")</f>
        <v/>
      </c>
      <c r="E9" s="12">
        <f>ROUND((T/365.25)^2/B9^3,3)</f>
        <v/>
      </c>
    </row>
    <row r="10">
      <c r="A10" s="4" t="inlineStr">
        <is>
          <t>Kepler-62f</t>
        </is>
      </c>
      <c r="B10" s="4" t="n">
        <v>0.718</v>
      </c>
      <c r="C10" s="4" t="n">
        <v>267</v>
      </c>
      <c r="D10" s="12">
        <f>IF(AND(B10&gt;=0.95,B10&lt;=1.37),"Yes","No")</f>
        <v/>
      </c>
      <c r="E10" s="12">
        <f>ROUND((T/365.25)^2/B10^3,3)</f>
        <v/>
      </c>
    </row>
    <row r="11">
      <c r="A11" s="4" t="inlineStr">
        <is>
          <t>Teegarden b</t>
        </is>
      </c>
      <c r="B11" s="4" t="n">
        <v>0.0252</v>
      </c>
      <c r="C11" s="4" t="n">
        <v>4.9</v>
      </c>
      <c r="D11" s="12">
        <f>IF(AND(B11&gt;=0.95,B11&lt;=1.37),"Yes","No")</f>
        <v/>
      </c>
      <c r="E11" s="12">
        <f>ROUND((T/365.25)^2/B11^3,3)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Period vs. Semi-major Axis (log)</t>
        </is>
      </c>
    </row>
    <row r="2" ht="18" customHeight="1">
      <c r="A2" s="2" t="inlineStr">
        <is>
          <t>Visualize Kepler</t>
        </is>
      </c>
    </row>
    <row r="3" ht="32" customHeight="1">
      <c r="A3" s="3" t="inlineStr">
        <is>
          <t>Planet</t>
        </is>
      </c>
      <c r="B3" s="3" t="inlineStr">
        <is>
          <t>a (AU)</t>
        </is>
      </c>
      <c r="C3" s="3" t="inlineStr">
        <is>
          <t>T (yrs)</t>
        </is>
      </c>
    </row>
    <row r="4">
      <c r="A4" s="4" t="inlineStr">
        <is>
          <t>Mercury</t>
        </is>
      </c>
      <c r="B4" s="4" t="n">
        <v>0.387</v>
      </c>
      <c r="C4" s="4" t="n">
        <v>0.241</v>
      </c>
    </row>
    <row r="5">
      <c r="A5" s="4" t="inlineStr">
        <is>
          <t>Venus</t>
        </is>
      </c>
      <c r="B5" s="4" t="n">
        <v>0.723</v>
      </c>
      <c r="C5" s="4" t="n">
        <v>0.615</v>
      </c>
    </row>
    <row r="6">
      <c r="A6" s="4" t="inlineStr">
        <is>
          <t>Earth</t>
        </is>
      </c>
      <c r="B6" s="4" t="n">
        <v>1</v>
      </c>
      <c r="C6" s="4" t="n">
        <v>1</v>
      </c>
    </row>
    <row r="7">
      <c r="A7" s="4" t="inlineStr">
        <is>
          <t>Mars</t>
        </is>
      </c>
      <c r="B7" s="4" t="n">
        <v>1.524</v>
      </c>
      <c r="C7" s="4" t="n">
        <v>1.881</v>
      </c>
    </row>
    <row r="8">
      <c r="A8" s="4" t="inlineStr">
        <is>
          <t>Jupiter</t>
        </is>
      </c>
      <c r="B8" s="4" t="n">
        <v>5.203</v>
      </c>
      <c r="C8" s="4" t="n">
        <v>11.86</v>
      </c>
    </row>
    <row r="9">
      <c r="A9" s="4" t="inlineStr">
        <is>
          <t>Saturn</t>
        </is>
      </c>
      <c r="B9" s="4" t="n">
        <v>9.537000000000001</v>
      </c>
      <c r="C9" s="4" t="n">
        <v>29.46</v>
      </c>
    </row>
    <row r="10">
      <c r="A10" s="4" t="inlineStr">
        <is>
          <t>Uranus</t>
        </is>
      </c>
      <c r="B10" s="4" t="n">
        <v>19.19</v>
      </c>
      <c r="C10" s="4" t="n">
        <v>84.01000000000001</v>
      </c>
    </row>
    <row r="11">
      <c r="A11" s="4" t="inlineStr">
        <is>
          <t>Neptune</t>
        </is>
      </c>
      <c r="B11" s="4" t="n">
        <v>30.07</v>
      </c>
      <c r="C11" s="4" t="n">
        <v>164.8</v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2026-04-21T19:29:38Z</dcterms:created>
  <dcterms:modified xmlns:dcterms="http://purl.org/dc/terms/" xmlns:xsi="http://www.w3.org/2001/XMLSchema-instance" xsi:type="dcterms:W3CDTF">2026-04-21T19:29:38Z</dcterms:modified>
</cp:coreProperties>
</file>