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 Sensitivity" sheetId="1" state="visible" r:id="rId1"/>
    <sheet xmlns:r="http://schemas.openxmlformats.org/officeDocument/2006/relationships" name="CO2 Sensitivity" sheetId="2" state="visible" r:id="rId2"/>
    <sheet xmlns:r="http://schemas.openxmlformats.org/officeDocument/2006/relationships" name="Temperature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Light Sensitivity</a:t>
            </a:r>
          </a:p>
        </rich>
      </tx>
    </title>
    <plotArea>
      <lineChart>
        <grouping val="standard"/>
        <ser>
          <idx val="0"/>
          <order val="0"/>
          <tx>
            <strRef>
              <f>'Light Sensitivity'!B3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'Light Sensitivity'!$A$4:$A$11</f>
            </numRef>
          </cat>
          <val>
            <numRef>
              <f>'Light Sensitivity'!$B$4:$B$11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Light (µmol/m²/s)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CO2 Sensitivity</a:t>
            </a:r>
          </a:p>
        </rich>
      </tx>
    </title>
    <plotArea>
      <lineChart>
        <grouping val="standard"/>
        <ser>
          <idx val="0"/>
          <order val="0"/>
          <tx>
            <strRef>
              <f>'CO2 Sensitivity'!B3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 Sensitivity'!$A$4:$A$14</f>
            </numRef>
          </cat>
          <val>
            <numRef>
              <f>'CO2 Sensitivity'!$B$4:$B$14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CO₂ (ppm)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 Sensitivity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 Sensitivity'!B3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 Sensitivity'!$A$4:$A$14</f>
            </numRef>
          </cat>
          <val>
            <numRef>
              <f>'Temperature Sensitivity'!$B$4:$B$14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 (°C)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6" customHeight="1">
      <c r="A1" s="1" t="inlineStr">
        <is>
          <t>Photosynthesis Model — Light Sensitivity</t>
        </is>
      </c>
    </row>
    <row r="2" ht="18" customHeight="1">
      <c r="A2" s="2" t="inlineStr">
        <is>
          <t>Rate =(L*400)/25</t>
        </is>
      </c>
    </row>
    <row r="3" ht="32" customHeight="1">
      <c r="A3" s="3" t="inlineStr">
        <is>
          <t>Light (µmol/m²/s)</t>
        </is>
      </c>
      <c r="B3" s="3" t="inlineStr">
        <is>
          <t>Rate</t>
        </is>
      </c>
    </row>
    <row r="4">
      <c r="A4" s="4" t="n">
        <v>100</v>
      </c>
      <c r="B4" s="5">
        <f>(A4*400)/25</f>
        <v/>
      </c>
    </row>
    <row r="5">
      <c r="A5" s="4" t="n">
        <v>200</v>
      </c>
      <c r="B5" s="5">
        <f>(A5*400)/25</f>
        <v/>
      </c>
    </row>
    <row r="6">
      <c r="A6" s="4" t="n">
        <v>300</v>
      </c>
      <c r="B6" s="5">
        <f>(A6*400)/25</f>
        <v/>
      </c>
    </row>
    <row r="7">
      <c r="A7" s="4" t="n">
        <v>400</v>
      </c>
      <c r="B7" s="5">
        <f>(A7*400)/25</f>
        <v/>
      </c>
    </row>
    <row r="8">
      <c r="A8" s="4" t="n">
        <v>500</v>
      </c>
      <c r="B8" s="5">
        <f>(A8*400)/25</f>
        <v/>
      </c>
    </row>
    <row r="9">
      <c r="A9" s="4" t="n">
        <v>600</v>
      </c>
      <c r="B9" s="5">
        <f>(A9*400)/25</f>
        <v/>
      </c>
    </row>
    <row r="10">
      <c r="A10" s="4" t="n">
        <v>700</v>
      </c>
      <c r="B10" s="5">
        <f>(A10*400)/25</f>
        <v/>
      </c>
    </row>
    <row r="11">
      <c r="A11" s="4" t="n">
        <v>800</v>
      </c>
      <c r="B11" s="5">
        <f>(A11*400)/25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6" customHeight="1">
      <c r="A1" s="1" t="inlineStr">
        <is>
          <t>Photosynthesis Model — CO2 Sensitivity</t>
        </is>
      </c>
    </row>
    <row r="2" ht="18" customHeight="1">
      <c r="A2" s="2" t="inlineStr">
        <is>
          <t>Rate =(400*CO2)/25</t>
        </is>
      </c>
    </row>
    <row r="3" ht="32" customHeight="1">
      <c r="A3" s="3" t="inlineStr">
        <is>
          <t>CO₂ (ppm)</t>
        </is>
      </c>
      <c r="B3" s="3" t="inlineStr">
        <is>
          <t>Rate</t>
        </is>
      </c>
    </row>
    <row r="4">
      <c r="A4" s="4" t="n">
        <v>200</v>
      </c>
      <c r="B4" s="5">
        <f>(400*A4)/25</f>
        <v/>
      </c>
    </row>
    <row r="5">
      <c r="A5" s="4" t="n">
        <v>250</v>
      </c>
      <c r="B5" s="5">
        <f>(400*A5)/25</f>
        <v/>
      </c>
    </row>
    <row r="6">
      <c r="A6" s="4" t="n">
        <v>300</v>
      </c>
      <c r="B6" s="5">
        <f>(400*A6)/25</f>
        <v/>
      </c>
    </row>
    <row r="7">
      <c r="A7" s="4" t="n">
        <v>350</v>
      </c>
      <c r="B7" s="5">
        <f>(400*A7)/25</f>
        <v/>
      </c>
    </row>
    <row r="8">
      <c r="A8" s="4" t="n">
        <v>400</v>
      </c>
      <c r="B8" s="5">
        <f>(400*A8)/25</f>
        <v/>
      </c>
    </row>
    <row r="9">
      <c r="A9" s="4" t="n">
        <v>450</v>
      </c>
      <c r="B9" s="5">
        <f>(400*A9)/25</f>
        <v/>
      </c>
    </row>
    <row r="10">
      <c r="A10" s="4" t="n">
        <v>500</v>
      </c>
      <c r="B10" s="5">
        <f>(400*A10)/25</f>
        <v/>
      </c>
    </row>
    <row r="11">
      <c r="A11" s="4" t="n">
        <v>550</v>
      </c>
      <c r="B11" s="5">
        <f>(400*A11)/25</f>
        <v/>
      </c>
    </row>
    <row r="12">
      <c r="A12" s="4" t="n">
        <v>600</v>
      </c>
      <c r="B12" s="5">
        <f>(400*A12)/25</f>
        <v/>
      </c>
    </row>
    <row r="13">
      <c r="A13" s="4" t="n">
        <v>650</v>
      </c>
      <c r="B13" s="5">
        <f>(400*A13)/25</f>
        <v/>
      </c>
    </row>
    <row r="14">
      <c r="A14" s="4" t="n">
        <v>700</v>
      </c>
      <c r="B14" s="5">
        <f>(400*A14)/25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6" customHeight="1">
      <c r="A1" s="1" t="inlineStr">
        <is>
          <t>Photosynthesis Model — Temperature Sensitivity</t>
        </is>
      </c>
    </row>
    <row r="2" ht="18" customHeight="1">
      <c r="A2" s="2" t="inlineStr">
        <is>
          <t>Rate =(400*400)/T</t>
        </is>
      </c>
    </row>
    <row r="3" ht="32" customHeight="1">
      <c r="A3" s="3" t="inlineStr">
        <is>
          <t>Temp (°C)</t>
        </is>
      </c>
      <c r="B3" s="3" t="inlineStr">
        <is>
          <t>Rate</t>
        </is>
      </c>
    </row>
    <row r="4">
      <c r="A4" s="4" t="n">
        <v>10</v>
      </c>
      <c r="B4" s="5">
        <f>(400*400)/A4</f>
        <v/>
      </c>
    </row>
    <row r="5">
      <c r="A5" s="4" t="n">
        <v>13</v>
      </c>
      <c r="B5" s="5">
        <f>(400*400)/A5</f>
        <v/>
      </c>
    </row>
    <row r="6">
      <c r="A6" s="4" t="n">
        <v>16</v>
      </c>
      <c r="B6" s="5">
        <f>(400*400)/A6</f>
        <v/>
      </c>
    </row>
    <row r="7">
      <c r="A7" s="4" t="n">
        <v>19</v>
      </c>
      <c r="B7" s="5">
        <f>(400*400)/A7</f>
        <v/>
      </c>
    </row>
    <row r="8">
      <c r="A8" s="4" t="n">
        <v>22</v>
      </c>
      <c r="B8" s="5">
        <f>(400*400)/A8</f>
        <v/>
      </c>
    </row>
    <row r="9">
      <c r="A9" s="4" t="n">
        <v>25</v>
      </c>
      <c r="B9" s="5">
        <f>(400*400)/A9</f>
        <v/>
      </c>
    </row>
    <row r="10">
      <c r="A10" s="4" t="n">
        <v>28</v>
      </c>
      <c r="B10" s="5">
        <f>(400*400)/A10</f>
        <v/>
      </c>
    </row>
    <row r="11">
      <c r="A11" s="4" t="n">
        <v>31</v>
      </c>
      <c r="B11" s="5">
        <f>(400*400)/A11</f>
        <v/>
      </c>
    </row>
    <row r="12">
      <c r="A12" s="4" t="n">
        <v>34</v>
      </c>
      <c r="B12" s="5">
        <f>(400*400)/A12</f>
        <v/>
      </c>
    </row>
    <row r="13">
      <c r="A13" s="4" t="n">
        <v>37</v>
      </c>
      <c r="B13" s="5">
        <f>(400*400)/A13</f>
        <v/>
      </c>
    </row>
    <row r="14">
      <c r="A14" s="4" t="n">
        <v>40</v>
      </c>
      <c r="B14" s="5">
        <f>(400*400)/A14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