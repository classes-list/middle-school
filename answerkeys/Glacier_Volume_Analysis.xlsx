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acier_Volu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<sst xmlns="http://schemas.openxmlformats.org/spreadsheetml/2006/main" count="18" uniqueCount="18">
  <si>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Glacier Volume Analysis — Answer Key</t>
  </si>
  <si>
    <t xml:space="preserve">Volume, water equivalent, and sea-level impact of major ice bodies</t>
  </si>
  <si>
    <t xml:space="preserve">Ice Body</t>
  </si>
  <si>
    <t xml:space="preserve">Area (km²)</t>
  </si>
  <si>
    <t xml:space="preserve">Thickness (km)</t>
  </si>
  <si>
    <t xml:space="preserve">Volume (km³) =A·T</t>
  </si>
  <si>
    <t xml:space="preserve">Water Eq. (km³) =V·0.9</t>
  </si>
  <si>
    <t xml:space="preserve">Sea Level Rise (mm) =WE/361</t>
  </si>
  <si>
    <t xml:space="preserve">Antarctic Ice Sheet</t>
  </si>
  <si>
    <t xml:space="preserve">Greenland Ice Sheet</t>
  </si>
  <si>
    <t xml:space="preserve">Arctic Sea Ice</t>
  </si>
  <si>
    <t xml:space="preserve">Himalayan Glaciers</t>
  </si>
  <si>
    <t xml:space="preserve">Alaskan Glaciers</t>
  </si>
  <si>
    <t xml:space="preserve">Patagonian Ice Fields</t>
  </si>
  <si>
    <t xml:space="preserve">Icelandic Glaciers</t>
  </si>
  <si>
    <t xml:space="preserve">Rocky Mountain Glaciers</t>
  </si>
  <si>
    <t xml:space="preserve">TOTAL</t>
  </si>
  <si>
    <t xml:space="preserve">Antarctic Ice Sheet dominates sea-level threat. If all 8 melted, rise ≈ 60+ 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</si>
</sst>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0"/>
    <numFmt numFmtId="167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  <fill>
      <patternFill patternType="solid">
        <fgColor rgb="FFE8EEF9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E8EE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Ice body volume (km³)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Glacier_Volume!D3</c:f>
              <c:strCache>
                <c:ptCount val="1"/>
                <c:pt idx="0">
                  <c:v>Volume (km³) =A·T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Glacier_Volume!$A$4:$A$11</c:f>
              <c:strCache>
                <c:ptCount val="8"/>
                <c:pt idx="0">
                  <c:v>Antarctic Ice Sheet</c:v>
                </c:pt>
                <c:pt idx="1">
                  <c:v>Greenland Ice Sheet</c:v>
                </c:pt>
                <c:pt idx="2">
                  <c:v>Arctic Sea Ice</c:v>
                </c:pt>
                <c:pt idx="3">
                  <c:v>Himalayan Glaciers</c:v>
                </c:pt>
                <c:pt idx="4">
                  <c:v>Alaskan Glaciers</c:v>
                </c:pt>
                <c:pt idx="5">
                  <c:v>Patagonian Ice Fields</c:v>
                </c:pt>
                <c:pt idx="6">
                  <c:v>Icelandic Glaciers</c:v>
                </c:pt>
                <c:pt idx="7">
                  <c:v>Rocky Mountain Glaciers</c:v>
                </c:pt>
              </c:strCache>
            </c:strRef>
          </c:cat>
          <c:val>
            <c:numRef>
              <c:f>Glacier_Volume!$D$4:$D$11</c:f>
              <c:numCache>
                <c:formatCode>#,##0</c:formatCode>
                <c:ptCount val="8"/>
                <c:pt idx="0">
                  <c:v>27300000</c:v>
                </c:pt>
                <c:pt idx="1">
                  <c:v>2855700</c:v>
                </c:pt>
                <c:pt idx="2">
                  <c:v>15000</c:v>
                </c:pt>
                <c:pt idx="3">
                  <c:v>5610</c:v>
                </c:pt>
                <c:pt idx="4">
                  <c:v>7500</c:v>
                </c:pt>
                <c:pt idx="5">
                  <c:v>2040</c:v>
                </c:pt>
                <c:pt idx="6">
                  <c:v>4400</c:v>
                </c:pt>
                <c:pt idx="7">
                  <c:v>12</c:v>
                </c:pt>
              </c:numCache>
            </c:numRef>
          </c:val>
        </c:ser>
        <c:gapWidth val="150"/>
        <c:overlap val="0"/>
        <c:axId val="49503501"/>
        <c:axId val="76116177"/>
      </c:barChart>
      <c:catAx>
        <c:axId val="495035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Ice Body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116177"/>
        <c:crosses val="autoZero"/>
        <c:auto val="1"/>
        <c:lblAlgn val="ctr"/>
        <c:lblOffset val="100"/>
        <c:noMultiLvlLbl val="0"/>
      </c:catAx>
      <c:valAx>
        <c:axId val="761161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Volume (km³)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50350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17</xdr:col>
      <xdr:colOff>363960</xdr:colOff>
      <xdr:row>23</xdr:row>
      <xdr:rowOff>109080</xdr:rowOff>
    </xdr:to>
    <xdr:graphicFrame>
      <xdr:nvGraphicFramePr>
        <xdr:cNvPr id="1" name="Chart 1"/>
        <xdr:cNvGraphicFramePr/>
      </xdr:nvGraphicFramePr>
      <xdr:xfrm>
        <a:off x="8646840" y="552600"/>
        <a:ext cx="647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2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5" hidden="false" customHeight="false" outlineLevel="0" collapsed="false">
      <c r="A4" s="5" t="s">
        <v>8</v>
      </c>
      <c r="B4" s="6" t="n">
        <v>14000000</v>
      </c>
      <c r="C4" s="7" t="n">
        <v>1.95</v>
      </c>
      <c r="D4" s="8" t="n">
        <f aca="false">B4*C4</f>
        <v>27300000</v>
      </c>
      <c r="E4" s="8" t="n">
        <f aca="false">D4*0.9</f>
        <v>24570000</v>
      </c>
      <c r="F4" s="9" t="n">
        <f aca="false">E4/361</f>
        <v>68060.9418282548</v>
      </c>
    </row>
    <row r="5" customFormat="false" ht="15" hidden="false" customHeight="false" outlineLevel="0" collapsed="false">
      <c r="A5" s="5" t="s">
        <v>9</v>
      </c>
      <c r="B5" s="6" t="n">
        <v>1710000</v>
      </c>
      <c r="C5" s="7" t="n">
        <v>1.67</v>
      </c>
      <c r="D5" s="8" t="n">
        <f aca="false">B5*C5</f>
        <v>2855700</v>
      </c>
      <c r="E5" s="8" t="n">
        <f aca="false">D5*0.9</f>
        <v>2570130</v>
      </c>
      <c r="F5" s="9" t="n">
        <f aca="false">E5/361</f>
        <v>7119.47368421053</v>
      </c>
    </row>
    <row r="6" customFormat="false" ht="15" hidden="false" customHeight="false" outlineLevel="0" collapsed="false">
      <c r="A6" s="5" t="s">
        <v>10</v>
      </c>
      <c r="B6" s="6" t="n">
        <v>5000000</v>
      </c>
      <c r="C6" s="7" t="n">
        <v>0.003</v>
      </c>
      <c r="D6" s="8" t="n">
        <f aca="false">B6*C6</f>
        <v>15000</v>
      </c>
      <c r="E6" s="8" t="n">
        <f aca="false">D6*0.9</f>
        <v>13500</v>
      </c>
      <c r="F6" s="9" t="n">
        <f aca="false">E6/361</f>
        <v>37.3961218836565</v>
      </c>
    </row>
    <row r="7" customFormat="false" ht="15" hidden="false" customHeight="false" outlineLevel="0" collapsed="false">
      <c r="A7" s="5" t="s">
        <v>11</v>
      </c>
      <c r="B7" s="6" t="n">
        <v>33000</v>
      </c>
      <c r="C7" s="7" t="n">
        <v>0.17</v>
      </c>
      <c r="D7" s="8" t="n">
        <f aca="false">B7*C7</f>
        <v>5610</v>
      </c>
      <c r="E7" s="8" t="n">
        <f aca="false">D7*0.9</f>
        <v>5049</v>
      </c>
      <c r="F7" s="9" t="n">
        <f aca="false">E7/361</f>
        <v>13.9861495844875</v>
      </c>
    </row>
    <row r="8" customFormat="false" ht="15" hidden="false" customHeight="false" outlineLevel="0" collapsed="false">
      <c r="A8" s="5" t="s">
        <v>12</v>
      </c>
      <c r="B8" s="6" t="n">
        <v>75000</v>
      </c>
      <c r="C8" s="7" t="n">
        <v>0.1</v>
      </c>
      <c r="D8" s="8" t="n">
        <f aca="false">B8*C8</f>
        <v>7500</v>
      </c>
      <c r="E8" s="8" t="n">
        <f aca="false">D8*0.9</f>
        <v>6750</v>
      </c>
      <c r="F8" s="9" t="n">
        <f aca="false">E8/361</f>
        <v>18.6980609418283</v>
      </c>
    </row>
    <row r="9" customFormat="false" ht="15" hidden="false" customHeight="false" outlineLevel="0" collapsed="false">
      <c r="A9" s="5" t="s">
        <v>13</v>
      </c>
      <c r="B9" s="6" t="n">
        <v>17000</v>
      </c>
      <c r="C9" s="7" t="n">
        <v>0.12</v>
      </c>
      <c r="D9" s="8" t="n">
        <f aca="false">B9*C9</f>
        <v>2040</v>
      </c>
      <c r="E9" s="8" t="n">
        <f aca="false">D9*0.9</f>
        <v>1836</v>
      </c>
      <c r="F9" s="9" t="n">
        <f aca="false">E9/361</f>
        <v>5.08587257617729</v>
      </c>
    </row>
    <row r="10" customFormat="false" ht="15" hidden="false" customHeight="false" outlineLevel="0" collapsed="false">
      <c r="A10" s="5" t="s">
        <v>14</v>
      </c>
      <c r="B10" s="6" t="n">
        <v>11000</v>
      </c>
      <c r="C10" s="7" t="n">
        <v>0.4</v>
      </c>
      <c r="D10" s="8" t="n">
        <f aca="false">B10*C10</f>
        <v>4400</v>
      </c>
      <c r="E10" s="8" t="n">
        <f aca="false">D10*0.9</f>
        <v>3960</v>
      </c>
      <c r="F10" s="9" t="n">
        <f aca="false">E10/361</f>
        <v>10.9695290858726</v>
      </c>
    </row>
    <row r="11" customFormat="false" ht="15" hidden="false" customHeight="false" outlineLevel="0" collapsed="false">
      <c r="A11" s="5" t="s">
        <v>15</v>
      </c>
      <c r="B11" s="6" t="n">
        <v>200</v>
      </c>
      <c r="C11" s="7" t="n">
        <v>0.06</v>
      </c>
      <c r="D11" s="8" t="n">
        <f aca="false">B11*C11</f>
        <v>12</v>
      </c>
      <c r="E11" s="8" t="n">
        <f aca="false">D11*0.9</f>
        <v>10.8</v>
      </c>
      <c r="F11" s="9" t="n">
        <f aca="false">E11/361</f>
        <v>0.0299168975069252</v>
      </c>
    </row>
    <row r="12" customFormat="false" ht="15" hidden="false" customHeight="false" outlineLevel="0" collapsed="false">
      <c r="A12" s="10" t="s">
        <v>16</v>
      </c>
      <c r="B12" s="10"/>
      <c r="C12" s="10"/>
      <c r="D12" s="11" t="n">
        <f aca="false">SUM(D4:D11)</f>
        <v>30190262</v>
      </c>
      <c r="E12" s="11" t="n">
        <f aca="false">SUM(E4:E11)</f>
        <v>27171235.8</v>
      </c>
      <c r="F12" s="12" t="n">
        <f aca="false">SUM(F4:F11)</f>
        <v>75266.5811634349</v>
      </c>
    </row>
    <row r="25" customFormat="false" ht="15" hidden="false" customHeight="false" outlineLevel="0" collapsed="false">
      <c r="H25" s="13" t="s">
        <v>17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2026-04-21T18:54:19Z</dcterms:created>
  <dc:creator>openpyxl</dc:creator>
  <dc:description/>
  <dc:language>en-US</dc:language>
  <cp:lastModifiedBy/>
  <dcterms:modified xsi:type="dcterms:W3CDTF">2026-04-21T19:02:03Z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