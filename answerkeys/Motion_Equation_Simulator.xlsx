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ing Object" sheetId="1" state="visible" r:id="rId1"/>
    <sheet xmlns:r="http://schemas.openxmlformats.org/officeDocument/2006/relationships" name="Solve for Time" sheetId="2" state="visible" r:id="rId2"/>
    <sheet xmlns:r="http://schemas.openxmlformats.org/officeDocument/2006/relationships" name="Linear Motion" sheetId="3" state="visible" r:id="rId3"/>
    <sheet xmlns:r="http://schemas.openxmlformats.org/officeDocument/2006/relationships" name="Newton 2nd Law" sheetId="4" state="visible" r:id="rId4"/>
    <sheet xmlns:r="http://schemas.openxmlformats.org/officeDocument/2006/relationships" name="Orb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2" fontId="5" fillId="0" borderId="0" pivotButton="0" quotePrefix="0" xfId="0"/>
    <xf numFmtId="0" fontId="5" fillId="0" borderId="0" pivotButton="0" quotePrefix="0" xfId="0"/>
    <xf numFmtId="11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Orbital Speeds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'Orbits'!D3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'Orbits'!$A$4:$A$8</f>
            </numRef>
          </cat>
          <val>
            <numRef>
              <f>'Orbits'!$D$4:$D$8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Falling Object (d = ½gt²)</t>
        </is>
      </c>
    </row>
    <row r="2" ht="18" customHeight="1">
      <c r="A2" s="2" t="inlineStr">
        <is>
          <t>g = 9.8 m/s²; enter times in column A</t>
        </is>
      </c>
    </row>
    <row r="3" ht="32" customHeight="1">
      <c r="A3" s="3" t="inlineStr">
        <is>
          <t>Time (s)</t>
        </is>
      </c>
      <c r="B3" s="3" t="inlineStr">
        <is>
          <t>Distance fallen (m)</t>
        </is>
      </c>
      <c r="C3" s="3" t="inlineStr">
        <is>
          <t>Note</t>
        </is>
      </c>
    </row>
    <row r="4">
      <c r="A4" s="4" t="n">
        <v>0</v>
      </c>
      <c r="B4" s="5">
        <f>0.5*9.8*A4^2</f>
        <v/>
      </c>
      <c r="C4" s="6">
        <f>IF(B4=0,"Start",TEXT(B4,"0.0")&amp;" m fallen")</f>
        <v/>
      </c>
    </row>
    <row r="5">
      <c r="A5" s="4" t="n">
        <v>0.5</v>
      </c>
      <c r="B5" s="5">
        <f>0.5*9.8*A5^2</f>
        <v/>
      </c>
      <c r="C5" s="6">
        <f>IF(B5=0,"Start",TEXT(B5,"0.0")&amp;" m fallen")</f>
        <v/>
      </c>
    </row>
    <row r="6">
      <c r="A6" s="4" t="n">
        <v>1</v>
      </c>
      <c r="B6" s="5">
        <f>0.5*9.8*A6^2</f>
        <v/>
      </c>
      <c r="C6" s="6">
        <f>IF(B6=0,"Start",TEXT(B6,"0.0")&amp;" m fallen")</f>
        <v/>
      </c>
    </row>
    <row r="7">
      <c r="A7" s="4" t="n">
        <v>1.5</v>
      </c>
      <c r="B7" s="5">
        <f>0.5*9.8*A7^2</f>
        <v/>
      </c>
      <c r="C7" s="6">
        <f>IF(B7=0,"Start",TEXT(B7,"0.0")&amp;" m fallen")</f>
        <v/>
      </c>
    </row>
    <row r="8">
      <c r="A8" s="4" t="n">
        <v>2</v>
      </c>
      <c r="B8" s="5">
        <f>0.5*9.8*A8^2</f>
        <v/>
      </c>
      <c r="C8" s="6">
        <f>IF(B8=0,"Start",TEXT(B8,"0.0")&amp;" m fallen")</f>
        <v/>
      </c>
    </row>
    <row r="9">
      <c r="A9" s="4" t="n">
        <v>3</v>
      </c>
      <c r="B9" s="5">
        <f>0.5*9.8*A9^2</f>
        <v/>
      </c>
      <c r="C9" s="6">
        <f>IF(B9=0,"Start",TEXT(B9,"0.0")&amp;" m fallen")</f>
        <v/>
      </c>
    </row>
    <row r="10">
      <c r="A10" s="4" t="n">
        <v>4</v>
      </c>
      <c r="B10" s="5">
        <f>0.5*9.8*A10^2</f>
        <v/>
      </c>
      <c r="C10" s="6">
        <f>IF(B10=0,"Start",TEXT(B10,"0.0")&amp;" m fallen")</f>
        <v/>
      </c>
    </row>
    <row r="11">
      <c r="A11" s="4" t="n">
        <v>5</v>
      </c>
      <c r="B11" s="5">
        <f>0.5*9.8*A11^2</f>
        <v/>
      </c>
      <c r="C11" s="6">
        <f>IF(B11=0,"Start",TEXT(B11,"0.0")&amp;" m fallen")</f>
        <v/>
      </c>
    </row>
    <row r="12">
      <c r="A12" s="4" t="n">
        <v>6</v>
      </c>
      <c r="B12" s="5">
        <f>0.5*9.8*A12^2</f>
        <v/>
      </c>
      <c r="C12" s="6">
        <f>IF(B12=0,"Start",TEXT(B12,"0.0")&amp;" m fallen")</f>
        <v/>
      </c>
    </row>
    <row r="13">
      <c r="A13" s="4" t="n">
        <v>8</v>
      </c>
      <c r="B13" s="5">
        <f>0.5*9.8*A13^2</f>
        <v/>
      </c>
      <c r="C13" s="6">
        <f>IF(B13=0,"Start",TEXT(B13,"0.0")&amp;" m fallen")</f>
        <v/>
      </c>
    </row>
    <row r="14">
      <c r="A14" s="4" t="n">
        <v>10</v>
      </c>
      <c r="B14" s="5">
        <f>0.5*9.8*A14^2</f>
        <v/>
      </c>
      <c r="C14" s="6">
        <f>IF(B14=0,"Start",TEXT(B14,"0.0")&amp;" m fallen")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Solve: t = √(2d/g)</t>
        </is>
      </c>
    </row>
    <row r="2" ht="18" customHeight="1">
      <c r="A2" s="2" t="inlineStr">
        <is>
          <t>g = 9.8</t>
        </is>
      </c>
    </row>
    <row r="3" ht="32" customHeight="1">
      <c r="A3" s="3" t="inlineStr">
        <is>
          <t>Distance (m)</t>
        </is>
      </c>
      <c r="B3" s="3" t="inlineStr">
        <is>
          <t>Time (s)</t>
        </is>
      </c>
      <c r="C3" s="3" t="inlineStr">
        <is>
          <t>Verify d</t>
        </is>
      </c>
      <c r="D3" s="3" t="inlineStr">
        <is>
          <t>Match?</t>
        </is>
      </c>
    </row>
    <row r="4">
      <c r="A4" s="4" t="n">
        <v>5</v>
      </c>
      <c r="B4" s="5">
        <f>SQRT(2*A4/9.8)</f>
        <v/>
      </c>
      <c r="C4" s="5">
        <f>0.5*9.8*B4^2</f>
        <v/>
      </c>
      <c r="D4" s="6">
        <f>IF(ABS(A4-C4)&lt;0.1,"✅","⚠")</f>
        <v/>
      </c>
    </row>
    <row r="5">
      <c r="A5" s="4" t="n">
        <v>20</v>
      </c>
      <c r="B5" s="5">
        <f>SQRT(2*A5/9.8)</f>
        <v/>
      </c>
      <c r="C5" s="5">
        <f>0.5*9.8*B5^2</f>
        <v/>
      </c>
      <c r="D5" s="6">
        <f>IF(ABS(A5-C5)&lt;0.1,"✅","⚠")</f>
        <v/>
      </c>
    </row>
    <row r="6">
      <c r="A6" s="4" t="n">
        <v>45</v>
      </c>
      <c r="B6" s="5">
        <f>SQRT(2*A6/9.8)</f>
        <v/>
      </c>
      <c r="C6" s="5">
        <f>0.5*9.8*B6^2</f>
        <v/>
      </c>
      <c r="D6" s="6">
        <f>IF(ABS(A6-C6)&lt;0.1,"✅","⚠")</f>
        <v/>
      </c>
    </row>
    <row r="7">
      <c r="A7" s="4" t="n">
        <v>80</v>
      </c>
      <c r="B7" s="5">
        <f>SQRT(2*A7/9.8)</f>
        <v/>
      </c>
      <c r="C7" s="5">
        <f>0.5*9.8*B7^2</f>
        <v/>
      </c>
      <c r="D7" s="6">
        <f>IF(ABS(A7-C7)&lt;0.1,"✅","⚠")</f>
        <v/>
      </c>
    </row>
    <row r="8">
      <c r="A8" s="4" t="n">
        <v>125</v>
      </c>
      <c r="B8" s="5">
        <f>SQRT(2*A8/9.8)</f>
        <v/>
      </c>
      <c r="C8" s="5">
        <f>0.5*9.8*B8^2</f>
        <v/>
      </c>
      <c r="D8" s="6">
        <f>IF(ABS(A8-C8)&lt;0.1,"✅","⚠")</f>
        <v/>
      </c>
    </row>
    <row r="9">
      <c r="A9" s="4" t="n">
        <v>180</v>
      </c>
      <c r="B9" s="5">
        <f>SQRT(2*A9/9.8)</f>
        <v/>
      </c>
      <c r="C9" s="5">
        <f>0.5*9.8*B9^2</f>
        <v/>
      </c>
      <c r="D9" s="6">
        <f>IF(ABS(A9-C9)&lt;0.1,"✅","⚠")</f>
        <v/>
      </c>
    </row>
    <row r="10">
      <c r="A10" s="4" t="n">
        <v>245</v>
      </c>
      <c r="B10" s="5">
        <f>SQRT(2*A10/9.8)</f>
        <v/>
      </c>
      <c r="C10" s="5">
        <f>0.5*9.8*B10^2</f>
        <v/>
      </c>
      <c r="D10" s="6">
        <f>IF(ABS(A10-C10)&lt;0.1,"✅","⚠")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d = v·t (bidirectional)</t>
        </is>
      </c>
    </row>
    <row r="2" ht="18" customHeight="1">
      <c r="A2" s="2" t="inlineStr">
        <is>
          <t>Solve any variable</t>
        </is>
      </c>
    </row>
    <row r="3" ht="32" customHeight="1">
      <c r="A3" s="3" t="inlineStr">
        <is>
          <t>Scenario</t>
        </is>
      </c>
      <c r="B3" s="3" t="inlineStr">
        <is>
          <t>Speed (km/h)</t>
        </is>
      </c>
      <c r="C3" s="3" t="inlineStr">
        <is>
          <t>Time (h)</t>
        </is>
      </c>
      <c r="D3" s="3" t="inlineStr">
        <is>
          <t>Distance (km)</t>
        </is>
      </c>
      <c r="E3" s="3" t="inlineStr">
        <is>
          <t>Solve v</t>
        </is>
      </c>
      <c r="F3" s="3" t="inlineStr">
        <is>
          <t>Solve t</t>
        </is>
      </c>
    </row>
    <row r="4">
      <c r="A4" s="4" t="inlineStr">
        <is>
          <t>Car to Honolulu</t>
        </is>
      </c>
      <c r="B4" s="4" t="n">
        <v>60</v>
      </c>
      <c r="C4" s="4" t="n">
        <v>2</v>
      </c>
      <c r="D4" s="6">
        <f>B4*C4</f>
        <v/>
      </c>
      <c r="E4" s="6">
        <f>D4/C4</f>
        <v/>
      </c>
      <c r="F4" s="6">
        <f>D4/B4</f>
        <v/>
      </c>
    </row>
    <row r="5">
      <c r="A5" s="4" t="inlineStr">
        <is>
          <t>Bike to school</t>
        </is>
      </c>
      <c r="B5" s="4" t="n">
        <v>15</v>
      </c>
      <c r="C5" s="4" t="n">
        <v>0.5</v>
      </c>
      <c r="D5" s="6">
        <f>B5*C5</f>
        <v/>
      </c>
      <c r="E5" s="6">
        <f>D5/C5</f>
        <v/>
      </c>
      <c r="F5" s="6">
        <f>D5/B5</f>
        <v/>
      </c>
    </row>
    <row r="6">
      <c r="A6" s="4" t="inlineStr">
        <is>
          <t>Plane LA→SF</t>
        </is>
      </c>
      <c r="B6" s="4" t="n">
        <v>800</v>
      </c>
      <c r="C6" s="4" t="n">
        <v>1</v>
      </c>
      <c r="D6" s="6">
        <f>B6*C6</f>
        <v/>
      </c>
      <c r="E6" s="6">
        <f>D6/C6</f>
        <v/>
      </c>
      <c r="F6" s="6">
        <f>D6/B6</f>
        <v/>
      </c>
    </row>
    <row r="7">
      <c r="A7" s="4" t="inlineStr">
        <is>
          <t>Train Tokyo→Osaka</t>
        </is>
      </c>
      <c r="B7" s="4" t="n">
        <v>300</v>
      </c>
      <c r="C7" s="4" t="n">
        <v>2.5</v>
      </c>
      <c r="D7" s="6">
        <f>B7*C7</f>
        <v/>
      </c>
      <c r="E7" s="6">
        <f>D7/C7</f>
        <v/>
      </c>
      <c r="F7" s="6">
        <f>D7/B7</f>
        <v/>
      </c>
    </row>
    <row r="8">
      <c r="A8" s="4" t="inlineStr">
        <is>
          <t>Ship SF→Hawaii</t>
        </is>
      </c>
      <c r="B8" s="4" t="n">
        <v>40</v>
      </c>
      <c r="C8" s="4" t="n">
        <v>120</v>
      </c>
      <c r="D8" s="6">
        <f>B8*C8</f>
        <v/>
      </c>
      <c r="E8" s="6">
        <f>D8/C8</f>
        <v/>
      </c>
      <c r="F8" s="6">
        <f>D8/B8</f>
        <v/>
      </c>
    </row>
    <row r="9">
      <c r="A9" s="4" t="inlineStr">
        <is>
          <t>Running</t>
        </is>
      </c>
      <c r="B9" s="4" t="n">
        <v>12</v>
      </c>
      <c r="C9" s="4" t="n">
        <v>1</v>
      </c>
      <c r="D9" s="6">
        <f>B9*C9</f>
        <v/>
      </c>
      <c r="E9" s="6">
        <f>D9/C9</f>
        <v/>
      </c>
      <c r="F9" s="6">
        <f>D9/B9</f>
        <v/>
      </c>
    </row>
    <row r="10">
      <c r="A10" s="4" t="inlineStr">
        <is>
          <t>Walking</t>
        </is>
      </c>
      <c r="B10" s="4" t="n">
        <v>5</v>
      </c>
      <c r="C10" s="4" t="n">
        <v>3</v>
      </c>
      <c r="D10" s="6">
        <f>B10*C10</f>
        <v/>
      </c>
      <c r="E10" s="6">
        <f>D10/C10</f>
        <v/>
      </c>
      <c r="F10" s="6">
        <f>D10/B10</f>
        <v/>
      </c>
    </row>
    <row r="11">
      <c r="A11" s="4" t="inlineStr">
        <is>
          <t>Truck</t>
        </is>
      </c>
      <c r="B11" s="4" t="n">
        <v>75</v>
      </c>
      <c r="C11" s="4" t="n">
        <v>4</v>
      </c>
      <c r="D11" s="6">
        <f>B11*C11</f>
        <v/>
      </c>
      <c r="E11" s="6">
        <f>D11/C11</f>
        <v/>
      </c>
      <c r="F11" s="6">
        <f>D11/B11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F = ma</t>
        </is>
      </c>
    </row>
    <row r="2" ht="18" customHeight="1">
      <c r="A2" s="2" t="inlineStr">
        <is>
          <t>Solve any variable</t>
        </is>
      </c>
    </row>
    <row r="3" ht="32" customHeight="1">
      <c r="A3" s="3" t="inlineStr">
        <is>
          <t>Object</t>
        </is>
      </c>
      <c r="B3" s="3" t="inlineStr">
        <is>
          <t>Mass (kg)</t>
        </is>
      </c>
      <c r="C3" s="3" t="inlineStr">
        <is>
          <t>Accel (m/s²)</t>
        </is>
      </c>
      <c r="D3" s="3" t="inlineStr">
        <is>
          <t>Force (N)</t>
        </is>
      </c>
      <c r="E3" s="3" t="inlineStr">
        <is>
          <t>Solve a</t>
        </is>
      </c>
      <c r="F3" s="3" t="inlineStr">
        <is>
          <t>Solve m</t>
        </is>
      </c>
    </row>
    <row r="4">
      <c r="A4" s="4" t="inlineStr">
        <is>
          <t>Bicycle + rider</t>
        </is>
      </c>
      <c r="B4" s="4" t="n">
        <v>95</v>
      </c>
      <c r="C4" s="4" t="n">
        <v>0.8</v>
      </c>
      <c r="D4" s="6">
        <f>B4*C4</f>
        <v/>
      </c>
      <c r="E4" s="6">
        <f>D4/B4</f>
        <v/>
      </c>
      <c r="F4" s="6">
        <f>D4/C4</f>
        <v/>
      </c>
    </row>
    <row r="5">
      <c r="A5" s="4" t="inlineStr">
        <is>
          <t>Car</t>
        </is>
      </c>
      <c r="B5" s="4" t="n">
        <v>1200</v>
      </c>
      <c r="C5" s="4" t="n">
        <v>3</v>
      </c>
      <c r="D5" s="6">
        <f>B5*C5</f>
        <v/>
      </c>
      <c r="E5" s="6">
        <f>D5/B5</f>
        <v/>
      </c>
      <c r="F5" s="6">
        <f>D5/C5</f>
        <v/>
      </c>
    </row>
    <row r="6">
      <c r="A6" s="4" t="inlineStr">
        <is>
          <t>Truck</t>
        </is>
      </c>
      <c r="B6" s="4" t="n">
        <v>4500</v>
      </c>
      <c r="C6" s="4" t="n">
        <v>1.5</v>
      </c>
      <c r="D6" s="6">
        <f>B6*C6</f>
        <v/>
      </c>
      <c r="E6" s="6">
        <f>D6/B6</f>
        <v/>
      </c>
      <c r="F6" s="6">
        <f>D6/C6</f>
        <v/>
      </c>
    </row>
    <row r="7">
      <c r="A7" s="4" t="inlineStr">
        <is>
          <t>Shopping cart</t>
        </is>
      </c>
      <c r="B7" s="4" t="n">
        <v>30</v>
      </c>
      <c r="C7" s="4" t="n">
        <v>2</v>
      </c>
      <c r="D7" s="6">
        <f>B7*C7</f>
        <v/>
      </c>
      <c r="E7" s="6">
        <f>D7/B7</f>
        <v/>
      </c>
      <c r="F7" s="6">
        <f>D7/C7</f>
        <v/>
      </c>
    </row>
    <row r="8">
      <c r="A8" s="4" t="inlineStr">
        <is>
          <t>Skateboard</t>
        </is>
      </c>
      <c r="B8" s="4" t="n">
        <v>5</v>
      </c>
      <c r="C8" s="4" t="n">
        <v>4</v>
      </c>
      <c r="D8" s="6">
        <f>B8*C8</f>
        <v/>
      </c>
      <c r="E8" s="6">
        <f>D8/B8</f>
        <v/>
      </c>
      <c r="F8" s="6">
        <f>D8/C8</f>
        <v/>
      </c>
    </row>
    <row r="9">
      <c r="A9" s="4" t="inlineStr">
        <is>
          <t>Rock</t>
        </is>
      </c>
      <c r="B9" s="4" t="n">
        <v>2</v>
      </c>
      <c r="C9" s="4" t="n">
        <v>9.800000000000001</v>
      </c>
      <c r="D9" s="6">
        <f>B9*C9</f>
        <v/>
      </c>
      <c r="E9" s="6">
        <f>D9/B9</f>
        <v/>
      </c>
      <c r="F9" s="6">
        <f>D9/C9</f>
        <v/>
      </c>
    </row>
    <row r="10">
      <c r="A10" s="4" t="inlineStr">
        <is>
          <t>Soccer ball</t>
        </is>
      </c>
      <c r="B10" s="4" t="n">
        <v>0.4</v>
      </c>
      <c r="C10" s="4" t="n">
        <v>15</v>
      </c>
      <c r="D10" s="6">
        <f>B10*C10</f>
        <v/>
      </c>
      <c r="E10" s="6">
        <f>D10/B10</f>
        <v/>
      </c>
      <c r="F10" s="6">
        <f>D10/C10</f>
        <v/>
      </c>
    </row>
    <row r="11">
      <c r="A11" s="4" t="inlineStr">
        <is>
          <t>Ice skater</t>
        </is>
      </c>
      <c r="B11" s="4" t="n">
        <v>60</v>
      </c>
      <c r="C11" s="4" t="n">
        <v>1</v>
      </c>
      <c r="D11" s="6">
        <f>B11*C11</f>
        <v/>
      </c>
      <c r="E11" s="6">
        <f>D11/B11</f>
        <v/>
      </c>
      <c r="F11" s="6">
        <f>D11/C11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Orbital Speed v = 2πr / T</t>
        </is>
      </c>
    </row>
    <row r="2" ht="18" customHeight="1">
      <c r="A2" s="2" t="inlineStr">
        <is>
          <t>5 inner planets</t>
        </is>
      </c>
    </row>
    <row r="3" ht="32" customHeight="1">
      <c r="A3" s="3" t="inlineStr">
        <is>
          <t>Planet</t>
        </is>
      </c>
      <c r="B3" s="3" t="inlineStr">
        <is>
          <t>r (m)</t>
        </is>
      </c>
      <c r="C3" s="3" t="inlineStr">
        <is>
          <t>T (s)</t>
        </is>
      </c>
      <c r="D3" s="3" t="inlineStr">
        <is>
          <t>v (m/s)</t>
        </is>
      </c>
      <c r="E3" s="3" t="inlineStr">
        <is>
          <t>a centripetal</t>
        </is>
      </c>
    </row>
    <row r="4">
      <c r="A4" s="4" t="inlineStr">
        <is>
          <t>Mercury</t>
        </is>
      </c>
      <c r="B4" s="7" t="n">
        <v>57900000000</v>
      </c>
      <c r="C4" s="7" t="n">
        <v>7600000</v>
      </c>
      <c r="D4" s="8">
        <f>2*PI()*B4/C4</f>
        <v/>
      </c>
      <c r="E4" s="9">
        <f>D4^2/B4</f>
        <v/>
      </c>
    </row>
    <row r="5">
      <c r="A5" s="4" t="inlineStr">
        <is>
          <t>Venus</t>
        </is>
      </c>
      <c r="B5" s="7" t="n">
        <v>108000000000</v>
      </c>
      <c r="C5" s="7" t="n">
        <v>19400000</v>
      </c>
      <c r="D5" s="8">
        <f>2*PI()*B5/C5</f>
        <v/>
      </c>
      <c r="E5" s="9">
        <f>D5^2/B5</f>
        <v/>
      </c>
    </row>
    <row r="6">
      <c r="A6" s="4" t="inlineStr">
        <is>
          <t>Earth</t>
        </is>
      </c>
      <c r="B6" s="7" t="n">
        <v>149600000000</v>
      </c>
      <c r="C6" s="7" t="n">
        <v>31540000</v>
      </c>
      <c r="D6" s="8">
        <f>2*PI()*B6/C6</f>
        <v/>
      </c>
      <c r="E6" s="9">
        <f>D6^2/B6</f>
        <v/>
      </c>
    </row>
    <row r="7">
      <c r="A7" s="4" t="inlineStr">
        <is>
          <t>Mars</t>
        </is>
      </c>
      <c r="B7" s="7" t="n">
        <v>228000000000</v>
      </c>
      <c r="C7" s="7" t="n">
        <v>59400000</v>
      </c>
      <c r="D7" s="8">
        <f>2*PI()*B7/C7</f>
        <v/>
      </c>
      <c r="E7" s="9">
        <f>D7^2/B7</f>
        <v/>
      </c>
    </row>
    <row r="8">
      <c r="A8" s="4" t="inlineStr">
        <is>
          <t>Jupiter</t>
        </is>
      </c>
      <c r="B8" s="7" t="n">
        <v>778000000000</v>
      </c>
      <c r="C8" s="7" t="n">
        <v>374000000</v>
      </c>
      <c r="D8" s="8">
        <f>2*PI()*B8/C8</f>
        <v/>
      </c>
      <c r="E8" s="9">
        <f>D8^2/B8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2026-04-21T19:25:54Z</dcterms:created>
  <dcterms:modified xmlns:dcterms="http://purl.org/dc/terms/" xmlns:xsi="http://www.w3.org/2001/XMLSchema-instance" xsi:type="dcterms:W3CDTF">2026-04-21T19:25:54Z</dcterms:modified>
</cp:coreProperties>
</file>