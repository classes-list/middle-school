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" sheetId="1" state="visible" r:id="rId1"/>
    <sheet xmlns:r="http://schemas.openxmlformats.org/officeDocument/2006/relationships" name="EM Spectrum" sheetId="2" state="visible" r:id="rId2"/>
    <sheet xmlns:r="http://schemas.openxmlformats.org/officeDocument/2006/relationships" name="Wave Speed" sheetId="3" state="visible" r:id="rId3"/>
    <sheet xmlns:r="http://schemas.openxmlformats.org/officeDocument/2006/relationships" name="Doppler" sheetId="4" state="visible" r:id="rId4"/>
    <sheet xmlns:r="http://schemas.openxmlformats.org/officeDocument/2006/relationships" name="Ch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1" fontId="4" fillId="0" borderId="0" pivotButton="0" quotePrefix="0" xfId="0"/>
    <xf numFmtId="11" fontId="5" fillId="0" borderId="0" pivotButton="0" quotePrefix="0" xfId="0"/>
    <xf numFmtId="3" fontId="4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Wavelength vs. Frequency</a:t>
            </a:r>
          </a:p>
        </rich>
      </tx>
    </title>
    <plotArea>
      <scatterChart>
        <ser>
          <idx val="0"/>
          <order val="0"/>
          <tx>
            <v>λ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'Chart'!$A$4:$A$12</f>
            </numRef>
          </xVal>
          <yVal>
            <numRef>
              <f>'Chart'!$B$4:$B$12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Sound Waves — λ = v/f (v=343 m/s)</t>
        </is>
      </c>
    </row>
    <row r="2" ht="18" customHeight="1">
      <c r="A2" s="2" t="inlineStr">
        <is>
          <t>Musical notes</t>
        </is>
      </c>
    </row>
    <row r="3" ht="32" customHeight="1">
      <c r="A3" s="3" t="inlineStr">
        <is>
          <t>Note</t>
        </is>
      </c>
      <c r="B3" s="3" t="inlineStr">
        <is>
          <t>Frequency (Hz)</t>
        </is>
      </c>
      <c r="C3" s="3" t="inlineStr">
        <is>
          <t>Wavelength (m)</t>
        </is>
      </c>
      <c r="D3" s="3" t="inlineStr">
        <is>
          <t>Period (s)</t>
        </is>
      </c>
    </row>
    <row r="4">
      <c r="A4" s="4" t="inlineStr">
        <is>
          <t>C2 (low)</t>
        </is>
      </c>
      <c r="B4" s="4" t="n">
        <v>65.40000000000001</v>
      </c>
      <c r="C4" s="5">
        <f>343/B4</f>
        <v/>
      </c>
      <c r="D4" s="6">
        <f>1/B4</f>
        <v/>
      </c>
    </row>
    <row r="5">
      <c r="A5" s="4" t="inlineStr">
        <is>
          <t>C3</t>
        </is>
      </c>
      <c r="B5" s="4" t="n">
        <v>130.8</v>
      </c>
      <c r="C5" s="5">
        <f>343/B5</f>
        <v/>
      </c>
      <c r="D5" s="6">
        <f>1/B5</f>
        <v/>
      </c>
    </row>
    <row r="6">
      <c r="A6" s="4" t="inlineStr">
        <is>
          <t>C4 middle</t>
        </is>
      </c>
      <c r="B6" s="4" t="n">
        <v>262</v>
      </c>
      <c r="C6" s="5">
        <f>343/B6</f>
        <v/>
      </c>
      <c r="D6" s="6">
        <f>1/B6</f>
        <v/>
      </c>
    </row>
    <row r="7">
      <c r="A7" s="4" t="inlineStr">
        <is>
          <t>C5</t>
        </is>
      </c>
      <c r="B7" s="4" t="n">
        <v>523</v>
      </c>
      <c r="C7" s="5">
        <f>343/B7</f>
        <v/>
      </c>
      <c r="D7" s="6">
        <f>1/B7</f>
        <v/>
      </c>
    </row>
    <row r="8">
      <c r="A8" s="4" t="inlineStr">
        <is>
          <t>C6</t>
        </is>
      </c>
      <c r="B8" s="4" t="n">
        <v>1046</v>
      </c>
      <c r="C8" s="5">
        <f>343/B8</f>
        <v/>
      </c>
      <c r="D8" s="6">
        <f>1/B8</f>
        <v/>
      </c>
    </row>
    <row r="9">
      <c r="A9" s="4" t="inlineStr">
        <is>
          <t>C7</t>
        </is>
      </c>
      <c r="B9" s="4" t="n">
        <v>2093</v>
      </c>
      <c r="C9" s="5">
        <f>343/B9</f>
        <v/>
      </c>
      <c r="D9" s="6">
        <f>1/B9</f>
        <v/>
      </c>
    </row>
    <row r="10">
      <c r="A10" s="4" t="inlineStr">
        <is>
          <t>C8 high</t>
        </is>
      </c>
      <c r="B10" s="4" t="n">
        <v>4186</v>
      </c>
      <c r="C10" s="5">
        <f>343/B10</f>
        <v/>
      </c>
      <c r="D10" s="6">
        <f>1/B10</f>
        <v/>
      </c>
    </row>
    <row r="11">
      <c r="A11" s="4" t="inlineStr">
        <is>
          <t>20 Hz bass</t>
        </is>
      </c>
      <c r="B11" s="4" t="n">
        <v>20</v>
      </c>
      <c r="C11" s="5">
        <f>343/B11</f>
        <v/>
      </c>
      <c r="D11" s="6">
        <f>1/B11</f>
        <v/>
      </c>
    </row>
    <row r="12">
      <c r="A12" s="4" t="inlineStr">
        <is>
          <t>20000 Hz</t>
        </is>
      </c>
      <c r="B12" s="4" t="n">
        <v>20000</v>
      </c>
      <c r="C12" s="5">
        <f>343/B12</f>
        <v/>
      </c>
      <c r="D12" s="6">
        <f>1/B12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EM Waves — λ = c/f (c=3e8 m/s)</t>
        </is>
      </c>
    </row>
    <row r="2" ht="18" customHeight="1">
      <c r="A2" s="2" t="inlineStr">
        <is>
          <t>Scientific notation</t>
        </is>
      </c>
    </row>
    <row r="3" ht="32" customHeight="1">
      <c r="A3" s="3" t="inlineStr">
        <is>
          <t>Band</t>
        </is>
      </c>
      <c r="B3" s="3" t="inlineStr">
        <is>
          <t>Frequency (Hz)</t>
        </is>
      </c>
      <c r="C3" s="3" t="inlineStr">
        <is>
          <t>Wavelength (m)</t>
        </is>
      </c>
    </row>
    <row r="4">
      <c r="A4" s="4" t="inlineStr">
        <is>
          <t>Radio AM</t>
        </is>
      </c>
      <c r="B4" s="7" t="n">
        <v>1000000</v>
      </c>
      <c r="C4" s="8">
        <f>3E8/B4</f>
        <v/>
      </c>
    </row>
    <row r="5">
      <c r="A5" s="4" t="inlineStr">
        <is>
          <t>Radio FM</t>
        </is>
      </c>
      <c r="B5" s="7" t="n">
        <v>100000000</v>
      </c>
      <c r="C5" s="8">
        <f>3E8/B5</f>
        <v/>
      </c>
    </row>
    <row r="6">
      <c r="A6" s="4" t="inlineStr">
        <is>
          <t>Microwave</t>
        </is>
      </c>
      <c r="B6" s="7" t="n">
        <v>10000000000</v>
      </c>
      <c r="C6" s="8">
        <f>3E8/B6</f>
        <v/>
      </c>
    </row>
    <row r="7">
      <c r="A7" s="4" t="inlineStr">
        <is>
          <t>Infrared</t>
        </is>
      </c>
      <c r="B7" s="7" t="n">
        <v>10000000000000</v>
      </c>
      <c r="C7" s="8">
        <f>3E8/B7</f>
        <v/>
      </c>
    </row>
    <row r="8">
      <c r="A8" s="4" t="inlineStr">
        <is>
          <t>Visible red</t>
        </is>
      </c>
      <c r="B8" s="7" t="n">
        <v>430000000000000</v>
      </c>
      <c r="C8" s="8">
        <f>3E8/B8</f>
        <v/>
      </c>
    </row>
    <row r="9">
      <c r="A9" s="4" t="inlineStr">
        <is>
          <t>Visible blue</t>
        </is>
      </c>
      <c r="B9" s="7" t="n">
        <v>670000000000000</v>
      </c>
      <c r="C9" s="8">
        <f>3E8/B9</f>
        <v/>
      </c>
    </row>
    <row r="10">
      <c r="A10" s="4" t="inlineStr">
        <is>
          <t>UV</t>
        </is>
      </c>
      <c r="B10" s="7" t="n">
        <v>1e+16</v>
      </c>
      <c r="C10" s="8">
        <f>3E8/B10</f>
        <v/>
      </c>
    </row>
    <row r="11">
      <c r="A11" s="4" t="inlineStr">
        <is>
          <t>X-ray</t>
        </is>
      </c>
      <c r="B11" s="7" t="n">
        <v>1e+18</v>
      </c>
      <c r="C11" s="8">
        <f>3E8/B11</f>
        <v/>
      </c>
    </row>
    <row r="12">
      <c r="A12" s="4" t="inlineStr">
        <is>
          <t>Gamma</t>
        </is>
      </c>
      <c r="B12" s="7" t="n">
        <v>1e+20</v>
      </c>
      <c r="C12" s="8">
        <f>3E8/B12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Wave Speed in Different Media</t>
        </is>
      </c>
    </row>
    <row r="2" ht="18" customHeight="1">
      <c r="A2" s="2" t="inlineStr">
        <is>
          <t>v = f · λ</t>
        </is>
      </c>
    </row>
    <row r="3" ht="32" customHeight="1">
      <c r="A3" s="3" t="inlineStr">
        <is>
          <t>Medium</t>
        </is>
      </c>
      <c r="B3" s="3" t="inlineStr">
        <is>
          <t>Speed (m/s)</t>
        </is>
      </c>
      <c r="C3" s="3" t="inlineStr">
        <is>
          <t>At 500 Hz: λ</t>
        </is>
      </c>
      <c r="D3" s="3" t="inlineStr">
        <is>
          <t>At 1000 Hz: λ</t>
        </is>
      </c>
    </row>
    <row r="4">
      <c r="A4" s="4" t="inlineStr">
        <is>
          <t>Air 20°C</t>
        </is>
      </c>
      <c r="B4" s="9" t="n">
        <v>343</v>
      </c>
      <c r="C4" s="5">
        <f>B4/500</f>
        <v/>
      </c>
      <c r="D4" s="5">
        <f>B4/1000</f>
        <v/>
      </c>
    </row>
    <row r="5">
      <c r="A5" s="4" t="inlineStr">
        <is>
          <t>Water</t>
        </is>
      </c>
      <c r="B5" s="9" t="n">
        <v>1480</v>
      </c>
      <c r="C5" s="5">
        <f>B5/500</f>
        <v/>
      </c>
      <c r="D5" s="5">
        <f>B5/1000</f>
        <v/>
      </c>
    </row>
    <row r="6">
      <c r="A6" s="4" t="inlineStr">
        <is>
          <t>Steel</t>
        </is>
      </c>
      <c r="B6" s="9" t="n">
        <v>5960</v>
      </c>
      <c r="C6" s="5">
        <f>B6/500</f>
        <v/>
      </c>
      <c r="D6" s="5">
        <f>B6/1000</f>
        <v/>
      </c>
    </row>
    <row r="7">
      <c r="A7" s="4" t="inlineStr">
        <is>
          <t>Granite</t>
        </is>
      </c>
      <c r="B7" s="9" t="n">
        <v>6000</v>
      </c>
      <c r="C7" s="5">
        <f>B7/500</f>
        <v/>
      </c>
      <c r="D7" s="5">
        <f>B7/1000</f>
        <v/>
      </c>
    </row>
    <row r="8">
      <c r="A8" s="4" t="inlineStr">
        <is>
          <t>Rubber</t>
        </is>
      </c>
      <c r="B8" s="9" t="n">
        <v>60</v>
      </c>
      <c r="C8" s="5">
        <f>B8/500</f>
        <v/>
      </c>
      <c r="D8" s="5">
        <f>B8/1000</f>
        <v/>
      </c>
    </row>
    <row r="9">
      <c r="A9" s="4" t="inlineStr">
        <is>
          <t>Vacuum (light)</t>
        </is>
      </c>
      <c r="B9" s="9" t="n">
        <v>300000000</v>
      </c>
      <c r="C9" s="5">
        <f>B9/500</f>
        <v/>
      </c>
      <c r="D9" s="5">
        <f>B9/1000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Doppler Effect</t>
        </is>
      </c>
    </row>
    <row r="2" ht="18" customHeight="1">
      <c r="A2" s="2" t="inlineStr">
        <is>
          <t>f_obs = f_src · v/(v - v_src)</t>
        </is>
      </c>
    </row>
    <row r="3" ht="32" customHeight="1">
      <c r="A3" s="3" t="inlineStr">
        <is>
          <t>f_src (Hz)</t>
        </is>
      </c>
      <c r="B3" s="3" t="inlineStr">
        <is>
          <t>v_src (m/s)</t>
        </is>
      </c>
      <c r="C3" s="3" t="inlineStr">
        <is>
          <t>Approaching</t>
        </is>
      </c>
      <c r="D3" s="3" t="inlineStr">
        <is>
          <t>Receding</t>
        </is>
      </c>
    </row>
    <row r="4">
      <c r="A4" s="4" t="n">
        <v>500</v>
      </c>
      <c r="B4" s="4" t="n">
        <v>0</v>
      </c>
      <c r="C4" s="10">
        <f>A4*343/(343-B4)</f>
        <v/>
      </c>
      <c r="D4" s="10">
        <f>A4*343/(343+B4)</f>
        <v/>
      </c>
    </row>
    <row r="5">
      <c r="A5" s="4" t="n">
        <v>500</v>
      </c>
      <c r="B5" s="4" t="n">
        <v>10</v>
      </c>
      <c r="C5" s="10">
        <f>A5*343/(343-B5)</f>
        <v/>
      </c>
      <c r="D5" s="10">
        <f>A5*343/(343+B5)</f>
        <v/>
      </c>
    </row>
    <row r="6">
      <c r="A6" s="4" t="n">
        <v>500</v>
      </c>
      <c r="B6" s="4" t="n">
        <v>30</v>
      </c>
      <c r="C6" s="10">
        <f>A6*343/(343-B6)</f>
        <v/>
      </c>
      <c r="D6" s="10">
        <f>A6*343/(343+B6)</f>
        <v/>
      </c>
    </row>
    <row r="7">
      <c r="A7" s="4" t="n">
        <v>500</v>
      </c>
      <c r="B7" s="4" t="n">
        <v>50</v>
      </c>
      <c r="C7" s="10">
        <f>A7*343/(343-B7)</f>
        <v/>
      </c>
      <c r="D7" s="10">
        <f>A7*343/(343+B7)</f>
        <v/>
      </c>
    </row>
    <row r="8">
      <c r="A8" s="4" t="n">
        <v>1000</v>
      </c>
      <c r="B8" s="4" t="n">
        <v>20</v>
      </c>
      <c r="C8" s="10">
        <f>A8*343/(343-B8)</f>
        <v/>
      </c>
      <c r="D8" s="10">
        <f>A8*343/(343+B8)</f>
        <v/>
      </c>
    </row>
    <row r="9">
      <c r="A9" s="4" t="n">
        <v>1000</v>
      </c>
      <c r="B9" s="4" t="n">
        <v>50</v>
      </c>
      <c r="C9" s="10">
        <f>A9*343/(343-B9)</f>
        <v/>
      </c>
      <c r="D9" s="10">
        <f>A9*343/(343+B9)</f>
        <v/>
      </c>
    </row>
    <row r="10">
      <c r="A10" s="4" t="n">
        <v>500</v>
      </c>
      <c r="B10" s="4" t="n">
        <v>100</v>
      </c>
      <c r="C10" s="10">
        <f>A10*343/(343-B10)</f>
        <v/>
      </c>
      <c r="D10" s="10">
        <f>A10*343/(343+B10)</f>
        <v/>
      </c>
    </row>
    <row r="11">
      <c r="A11" s="4" t="n">
        <v>500</v>
      </c>
      <c r="B11" s="4" t="n">
        <v>150</v>
      </c>
      <c r="C11" s="10">
        <f>A11*343/(343-B11)</f>
        <v/>
      </c>
      <c r="D11" s="10">
        <f>A11*343/(343+B11)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Sound Frequency vs. Wavelength</t>
        </is>
      </c>
    </row>
    <row r="2" ht="18" customHeight="1">
      <c r="A2" s="2" t="inlineStr">
        <is>
          <t>Inverse relationship</t>
        </is>
      </c>
    </row>
    <row r="3" ht="32" customHeight="1">
      <c r="A3" s="3" t="inlineStr">
        <is>
          <t>Frequency (Hz)</t>
        </is>
      </c>
      <c r="B3" s="3" t="inlineStr">
        <is>
          <t>Wavelength (m)</t>
        </is>
      </c>
    </row>
    <row r="4">
      <c r="A4" s="4" t="n">
        <v>50</v>
      </c>
      <c r="B4" s="5">
        <f>343/A4</f>
        <v/>
      </c>
    </row>
    <row r="5">
      <c r="A5" s="4" t="n">
        <v>100</v>
      </c>
      <c r="B5" s="5">
        <f>343/A5</f>
        <v/>
      </c>
    </row>
    <row r="6">
      <c r="A6" s="4" t="n">
        <v>200</v>
      </c>
      <c r="B6" s="5">
        <f>343/A6</f>
        <v/>
      </c>
    </row>
    <row r="7">
      <c r="A7" s="4" t="n">
        <v>400</v>
      </c>
      <c r="B7" s="5">
        <f>343/A7</f>
        <v/>
      </c>
    </row>
    <row r="8">
      <c r="A8" s="4" t="n">
        <v>800</v>
      </c>
      <c r="B8" s="5">
        <f>343/A8</f>
        <v/>
      </c>
    </row>
    <row r="9">
      <c r="A9" s="4" t="n">
        <v>1600</v>
      </c>
      <c r="B9" s="5">
        <f>343/A9</f>
        <v/>
      </c>
    </row>
    <row r="10">
      <c r="A10" s="4" t="n">
        <v>3200</v>
      </c>
      <c r="B10" s="5">
        <f>343/A10</f>
        <v/>
      </c>
    </row>
    <row r="11">
      <c r="A11" s="4" t="n">
        <v>6400</v>
      </c>
      <c r="B11" s="5">
        <f>343/A11</f>
        <v/>
      </c>
    </row>
    <row r="12">
      <c r="A12" s="4" t="n">
        <v>12800</v>
      </c>
      <c r="B12" s="5">
        <f>343/A12</f>
        <v/>
      </c>
    </row>
  </sheetData>
  <mergeCells count="2">
    <mergeCell ref="A2:B2"/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2026-04-21T19:29:38Z</dcterms:created>
  <dcterms:modified xmlns:dcterms="http://purl.org/dc/terms/" xmlns:xsi="http://www.w3.org/2001/XMLSchema-instance" xsi:type="dcterms:W3CDTF">2026-04-21T19:29:38Z</dcterms:modified>
</cp:coreProperties>
</file>