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DUdcm" sheetId="1" state="visible" r:id="rId1"/>
    <sheet xmlns:r="http://schemas.openxmlformats.org/officeDocument/2006/relationships" name="Length Conv" sheetId="2" state="visible" r:id="rId2"/>
    <sheet xmlns:r="http://schemas.openxmlformats.org/officeDocument/2006/relationships" name="Mass &amp; Volume" sheetId="3" state="visible" r:id="rId3"/>
    <sheet xmlns:r="http://schemas.openxmlformats.org/officeDocument/2006/relationships" name="Speed" sheetId="4" state="visible" r:id="rId4"/>
    <sheet xmlns:r="http://schemas.openxmlformats.org/officeDocument/2006/relationships" name="For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b val="1"/>
      <color rgb="001B3A8A"/>
      <sz val="14"/>
    </font>
    <font>
      <name val="Arial"/>
      <color rgb="00000000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KHDUdcm Staircase</t>
        </is>
      </c>
    </row>
    <row r="2" ht="18" customHeight="1">
      <c r="A2" s="2" t="inlineStr">
        <is>
          <t>Visual reference</t>
        </is>
      </c>
    </row>
    <row r="4">
      <c r="A4" s="3" t="inlineStr">
        <is>
          <t>K</t>
        </is>
      </c>
      <c r="B4" s="3" t="inlineStr">
        <is>
          <t>H</t>
        </is>
      </c>
      <c r="C4" s="3" t="inlineStr">
        <is>
          <t>da</t>
        </is>
      </c>
      <c r="D4" s="3" t="inlineStr">
        <is>
          <t>—</t>
        </is>
      </c>
      <c r="E4" s="3" t="inlineStr">
        <is>
          <t>d</t>
        </is>
      </c>
      <c r="F4" s="3" t="inlineStr">
        <is>
          <t>c</t>
        </is>
      </c>
      <c r="G4" s="3" t="inlineStr">
        <is>
          <t>m</t>
        </is>
      </c>
    </row>
    <row r="5">
      <c r="A5" s="4" t="inlineStr">
        <is>
          <t>Kilo</t>
        </is>
      </c>
      <c r="B5" s="4" t="inlineStr">
        <is>
          <t>Hecto</t>
        </is>
      </c>
      <c r="C5" s="4" t="inlineStr">
        <is>
          <t>Deca</t>
        </is>
      </c>
      <c r="D5" s="4" t="inlineStr">
        <is>
          <t>Unit</t>
        </is>
      </c>
      <c r="E5" s="4" t="inlineStr">
        <is>
          <t>deci</t>
        </is>
      </c>
      <c r="F5" s="4" t="inlineStr">
        <is>
          <t>centi</t>
        </is>
      </c>
      <c r="G5" s="4" t="inlineStr">
        <is>
          <t>milli</t>
        </is>
      </c>
    </row>
    <row r="6">
      <c r="A6" s="4" t="inlineStr">
        <is>
          <t>10^3</t>
        </is>
      </c>
      <c r="B6" s="4" t="inlineStr">
        <is>
          <t>10^2</t>
        </is>
      </c>
      <c r="C6" s="4" t="inlineStr">
        <is>
          <t>10^1</t>
        </is>
      </c>
      <c r="D6" s="4" t="inlineStr">
        <is>
          <t>10^0</t>
        </is>
      </c>
      <c r="E6" s="4" t="inlineStr">
        <is>
          <t>10^-1</t>
        </is>
      </c>
      <c r="F6" s="4" t="inlineStr">
        <is>
          <t>10^-2</t>
        </is>
      </c>
      <c r="G6" s="4" t="inlineStr">
        <is>
          <t>10^-3</t>
        </is>
      </c>
    </row>
    <row r="7">
      <c r="A7" s="5">
        <f>10^3</f>
        <v/>
      </c>
      <c r="B7" s="5">
        <f>10^2</f>
        <v/>
      </c>
      <c r="C7" s="5">
        <f>10^1</f>
        <v/>
      </c>
      <c r="D7" s="5">
        <f>10^0</f>
        <v/>
      </c>
      <c r="E7" s="5">
        <f>10^-1</f>
        <v/>
      </c>
      <c r="F7" s="5">
        <f>10^-2</f>
        <v/>
      </c>
      <c r="G7" s="5">
        <f>10^-3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Length Converter</t>
        </is>
      </c>
    </row>
    <row r="2" ht="18" customHeight="1">
      <c r="A2" s="2" t="inlineStr">
        <is>
          <t>Steps on KHDUdcm × multiplier</t>
        </is>
      </c>
    </row>
    <row r="3" ht="32" customHeight="1">
      <c r="A3" s="6" t="inlineStr">
        <is>
          <t>From Unit</t>
        </is>
      </c>
      <c r="B3" s="6" t="inlineStr">
        <is>
          <t>Value</t>
        </is>
      </c>
      <c r="C3" s="6" t="inlineStr">
        <is>
          <t>To Unit</t>
        </is>
      </c>
      <c r="D3" s="6" t="inlineStr">
        <is>
          <t>Steps</t>
        </is>
      </c>
      <c r="E3" s="6" t="inlineStr">
        <is>
          <t>Factor</t>
        </is>
      </c>
      <c r="F3" s="6" t="inlineStr">
        <is>
          <t>Result</t>
        </is>
      </c>
    </row>
    <row r="4">
      <c r="A4" s="7" t="inlineStr">
        <is>
          <t>km</t>
        </is>
      </c>
      <c r="B4" s="7" t="n">
        <v>5</v>
      </c>
      <c r="C4" s="7" t="inlineStr">
        <is>
          <t>m</t>
        </is>
      </c>
      <c r="D4" s="7" t="n">
        <v>3</v>
      </c>
      <c r="E4" s="8">
        <f>10^D4</f>
        <v/>
      </c>
      <c r="F4" s="8">
        <f>B4*E4</f>
        <v/>
      </c>
    </row>
    <row r="5">
      <c r="A5" s="7" t="inlineStr">
        <is>
          <t>m</t>
        </is>
      </c>
      <c r="B5" s="7" t="n">
        <v>250</v>
      </c>
      <c r="C5" s="7" t="inlineStr">
        <is>
          <t>cm</t>
        </is>
      </c>
      <c r="D5" s="7" t="n">
        <v>2</v>
      </c>
      <c r="E5" s="8">
        <f>10^D5</f>
        <v/>
      </c>
      <c r="F5" s="8">
        <f>B5*E5</f>
        <v/>
      </c>
    </row>
    <row r="6">
      <c r="A6" s="7" t="inlineStr">
        <is>
          <t>cm</t>
        </is>
      </c>
      <c r="B6" s="7" t="n">
        <v>45</v>
      </c>
      <c r="C6" s="7" t="inlineStr">
        <is>
          <t>mm</t>
        </is>
      </c>
      <c r="D6" s="7" t="n">
        <v>1</v>
      </c>
      <c r="E6" s="8">
        <f>10^D6</f>
        <v/>
      </c>
      <c r="F6" s="8">
        <f>B6*E6</f>
        <v/>
      </c>
    </row>
    <row r="7">
      <c r="A7" s="7" t="inlineStr">
        <is>
          <t>mm</t>
        </is>
      </c>
      <c r="B7" s="7" t="n">
        <v>1500</v>
      </c>
      <c r="C7" s="7" t="inlineStr">
        <is>
          <t>m</t>
        </is>
      </c>
      <c r="D7" s="7" t="n">
        <v>-3</v>
      </c>
      <c r="E7" s="8">
        <f>10^D7</f>
        <v/>
      </c>
      <c r="F7" s="8">
        <f>B7*E7</f>
        <v/>
      </c>
    </row>
    <row r="8">
      <c r="A8" s="7" t="inlineStr">
        <is>
          <t>km</t>
        </is>
      </c>
      <c r="B8" s="7" t="n">
        <v>0.5</v>
      </c>
      <c r="C8" s="7" t="inlineStr">
        <is>
          <t>mm</t>
        </is>
      </c>
      <c r="D8" s="7" t="n">
        <v>6</v>
      </c>
      <c r="E8" s="8">
        <f>10^D8</f>
        <v/>
      </c>
      <c r="F8" s="8">
        <f>B8*E8</f>
        <v/>
      </c>
    </row>
    <row r="9">
      <c r="A9" s="7" t="inlineStr">
        <is>
          <t>m</t>
        </is>
      </c>
      <c r="B9" s="7" t="n">
        <v>1200</v>
      </c>
      <c r="C9" s="7" t="inlineStr">
        <is>
          <t>km</t>
        </is>
      </c>
      <c r="D9" s="7" t="n">
        <v>-3</v>
      </c>
      <c r="E9" s="8">
        <f>10^D9</f>
        <v/>
      </c>
      <c r="F9" s="8">
        <f>B9*E9</f>
        <v/>
      </c>
    </row>
    <row r="10">
      <c r="A10" s="7" t="inlineStr">
        <is>
          <t>cm</t>
        </is>
      </c>
      <c r="B10" s="7" t="n">
        <v>800</v>
      </c>
      <c r="C10" s="7" t="inlineStr">
        <is>
          <t>m</t>
        </is>
      </c>
      <c r="D10" s="7" t="n">
        <v>-2</v>
      </c>
      <c r="E10" s="8">
        <f>10^D10</f>
        <v/>
      </c>
      <c r="F10" s="8">
        <f>B10*E10</f>
        <v/>
      </c>
    </row>
    <row r="11">
      <c r="A11" s="7" t="inlineStr">
        <is>
          <t>mm</t>
        </is>
      </c>
      <c r="B11" s="7" t="n">
        <v>12</v>
      </c>
      <c r="C11" s="7" t="inlineStr">
        <is>
          <t>cm</t>
        </is>
      </c>
      <c r="D11" s="7" t="n">
        <v>-1</v>
      </c>
      <c r="E11" s="8">
        <f>10^D11</f>
        <v/>
      </c>
      <c r="F11" s="8">
        <f>B11*E11</f>
        <v/>
      </c>
    </row>
    <row r="12">
      <c r="A12" s="7" t="inlineStr">
        <is>
          <t>m</t>
        </is>
      </c>
      <c r="B12" s="7" t="n">
        <v>0.75</v>
      </c>
      <c r="C12" s="7" t="inlineStr">
        <is>
          <t>mm</t>
        </is>
      </c>
      <c r="D12" s="7" t="n">
        <v>3</v>
      </c>
      <c r="E12" s="8">
        <f>10^D12</f>
        <v/>
      </c>
      <c r="F12" s="8">
        <f>B12*E12</f>
        <v/>
      </c>
    </row>
    <row r="13">
      <c r="A13" s="7" t="inlineStr">
        <is>
          <t>km</t>
        </is>
      </c>
      <c r="B13" s="7" t="n">
        <v>2.5</v>
      </c>
      <c r="C13" s="7" t="inlineStr">
        <is>
          <t>cm</t>
        </is>
      </c>
      <c r="D13" s="7" t="n">
        <v>5</v>
      </c>
      <c r="E13" s="8">
        <f>10^D13</f>
        <v/>
      </c>
      <c r="F13" s="8">
        <f>B13*E13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Mass &amp; Volume Converter</t>
        </is>
      </c>
    </row>
    <row r="2" ht="18" customHeight="1">
      <c r="A2" s="2" t="inlineStr">
        <is>
          <t>kg/g/mg and mL/L</t>
        </is>
      </c>
    </row>
    <row r="3" ht="32" customHeight="1">
      <c r="A3" s="6" t="inlineStr">
        <is>
          <t>From</t>
        </is>
      </c>
      <c r="B3" s="6" t="inlineStr">
        <is>
          <t>Value</t>
        </is>
      </c>
      <c r="C3" s="6" t="inlineStr">
        <is>
          <t>To</t>
        </is>
      </c>
      <c r="D3" s="6" t="inlineStr">
        <is>
          <t>Result</t>
        </is>
      </c>
    </row>
    <row r="4">
      <c r="A4" s="9" t="inlineStr">
        <is>
          <t>kg</t>
        </is>
      </c>
      <c r="B4" s="9" t="n">
        <v>5</v>
      </c>
      <c r="C4" s="9" t="inlineStr">
        <is>
          <t>g</t>
        </is>
      </c>
      <c r="D4" s="10">
        <f>B4*1000</f>
        <v/>
      </c>
    </row>
    <row r="5">
      <c r="A5" s="9" t="inlineStr">
        <is>
          <t>g</t>
        </is>
      </c>
      <c r="B5" s="9" t="n">
        <v>750</v>
      </c>
      <c r="C5" s="9" t="inlineStr">
        <is>
          <t>mg</t>
        </is>
      </c>
      <c r="D5" s="10">
        <f>B5*1000</f>
        <v/>
      </c>
    </row>
    <row r="6">
      <c r="A6" s="9" t="inlineStr">
        <is>
          <t>kg</t>
        </is>
      </c>
      <c r="B6" s="9" t="n">
        <v>0.25</v>
      </c>
      <c r="C6" s="9" t="inlineStr">
        <is>
          <t>mg</t>
        </is>
      </c>
      <c r="D6" s="10">
        <f>B6*1000000</f>
        <v/>
      </c>
    </row>
    <row r="7">
      <c r="A7" s="9" t="inlineStr">
        <is>
          <t>mL</t>
        </is>
      </c>
      <c r="B7" s="9" t="n">
        <v>750</v>
      </c>
      <c r="C7" s="9" t="inlineStr">
        <is>
          <t>L</t>
        </is>
      </c>
      <c r="D7" s="10">
        <f>B7/1000</f>
        <v/>
      </c>
    </row>
    <row r="8">
      <c r="A8" s="9" t="inlineStr">
        <is>
          <t>L</t>
        </is>
      </c>
      <c r="B8" s="9" t="n">
        <v>2.5</v>
      </c>
      <c r="C8" s="9" t="inlineStr">
        <is>
          <t>mL</t>
        </is>
      </c>
      <c r="D8" s="10">
        <f>B8*1000</f>
        <v/>
      </c>
    </row>
    <row r="9">
      <c r="A9" s="9" t="inlineStr">
        <is>
          <t>lb</t>
        </is>
      </c>
      <c r="B9" s="9" t="n">
        <v>150</v>
      </c>
      <c r="C9" s="9" t="inlineStr">
        <is>
          <t>kg</t>
        </is>
      </c>
      <c r="D9" s="10">
        <f>B9*0.4536</f>
        <v/>
      </c>
    </row>
    <row r="10">
      <c r="A10" s="9" t="inlineStr">
        <is>
          <t>lb</t>
        </is>
      </c>
      <c r="B10" s="9" t="n">
        <v>10</v>
      </c>
      <c r="C10" s="9" t="inlineStr">
        <is>
          <t>kg</t>
        </is>
      </c>
      <c r="D10" s="10">
        <f>B10*0.4536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Speed &amp; Distance</t>
        </is>
      </c>
    </row>
    <row r="2" ht="18" customHeight="1">
      <c r="A2" s="2" t="inlineStr">
        <is>
          <t>km/h to m/s, d = v·t</t>
        </is>
      </c>
    </row>
    <row r="3" ht="32" customHeight="1">
      <c r="A3" s="6" t="inlineStr">
        <is>
          <t>Speed (km/h)</t>
        </is>
      </c>
      <c r="B3" s="6" t="inlineStr">
        <is>
          <t>Speed (m/s)</t>
        </is>
      </c>
      <c r="C3" s="6" t="inlineStr">
        <is>
          <t>d (2h, km)</t>
        </is>
      </c>
      <c r="D3" s="6" t="inlineStr">
        <is>
          <t>d (2h, m)</t>
        </is>
      </c>
    </row>
    <row r="4">
      <c r="A4" s="9" t="n">
        <v>50</v>
      </c>
      <c r="B4" s="10">
        <f>A4/3.6</f>
        <v/>
      </c>
      <c r="C4" s="11">
        <f>A4*2</f>
        <v/>
      </c>
      <c r="D4" s="12">
        <f>B4*7200</f>
        <v/>
      </c>
    </row>
    <row r="5">
      <c r="A5" s="9" t="n">
        <v>100</v>
      </c>
      <c r="B5" s="10">
        <f>A5/3.6</f>
        <v/>
      </c>
      <c r="C5" s="11">
        <f>A5*2</f>
        <v/>
      </c>
      <c r="D5" s="12">
        <f>B5*7200</f>
        <v/>
      </c>
    </row>
    <row r="6">
      <c r="A6" s="9" t="n">
        <v>120</v>
      </c>
      <c r="B6" s="10">
        <f>A6/3.6</f>
        <v/>
      </c>
      <c r="C6" s="11">
        <f>A6*2</f>
        <v/>
      </c>
      <c r="D6" s="12">
        <f>B6*7200</f>
        <v/>
      </c>
    </row>
    <row r="7">
      <c r="A7" s="9" t="n">
        <v>80</v>
      </c>
      <c r="B7" s="10">
        <f>A7/3.6</f>
        <v/>
      </c>
      <c r="C7" s="11">
        <f>A7*2</f>
        <v/>
      </c>
      <c r="D7" s="12">
        <f>B7*7200</f>
        <v/>
      </c>
    </row>
    <row r="8">
      <c r="A8" s="9" t="n">
        <v>60</v>
      </c>
      <c r="B8" s="10">
        <f>A8/3.6</f>
        <v/>
      </c>
      <c r="C8" s="11">
        <f>A8*2</f>
        <v/>
      </c>
      <c r="D8" s="12">
        <f>B8*7200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Force (F = ma)</t>
        </is>
      </c>
    </row>
    <row r="2" ht="18" customHeight="1">
      <c r="A2" s="2" t="inlineStr">
        <is>
          <t>kg vs. g error analysis</t>
        </is>
      </c>
    </row>
    <row r="3" ht="32" customHeight="1">
      <c r="A3" s="6" t="inlineStr">
        <is>
          <t>Mass (kg)</t>
        </is>
      </c>
      <c r="B3" s="6" t="inlineStr">
        <is>
          <t>Mass (g)</t>
        </is>
      </c>
      <c r="C3" s="6" t="inlineStr">
        <is>
          <t>Accel (m/s²)</t>
        </is>
      </c>
      <c r="D3" s="6" t="inlineStr">
        <is>
          <t>Force (N)</t>
        </is>
      </c>
      <c r="E3" s="6" t="inlineStr">
        <is>
          <t>Wrong F (g)</t>
        </is>
      </c>
      <c r="F3" s="6" t="inlineStr">
        <is>
          <t>Error Factor</t>
        </is>
      </c>
    </row>
    <row r="4">
      <c r="A4" s="9" t="n">
        <v>5</v>
      </c>
      <c r="B4" s="11">
        <f>A4*1000</f>
        <v/>
      </c>
      <c r="C4" s="9" t="n">
        <v>2</v>
      </c>
      <c r="D4" s="11">
        <f>A4*C4</f>
        <v/>
      </c>
      <c r="E4" s="11">
        <f>B4*C4</f>
        <v/>
      </c>
      <c r="F4" s="11">
        <f>E4/D4</f>
        <v/>
      </c>
    </row>
    <row r="5">
      <c r="A5" s="9" t="n">
        <v>10</v>
      </c>
      <c r="B5" s="11">
        <f>A5*1000</f>
        <v/>
      </c>
      <c r="C5" s="9" t="n">
        <v>3</v>
      </c>
      <c r="D5" s="11">
        <f>A5*C5</f>
        <v/>
      </c>
      <c r="E5" s="11">
        <f>B5*C5</f>
        <v/>
      </c>
      <c r="F5" s="11">
        <f>E5/D5</f>
        <v/>
      </c>
    </row>
    <row r="6">
      <c r="A6" s="9" t="n">
        <v>2</v>
      </c>
      <c r="B6" s="11">
        <f>A6*1000</f>
        <v/>
      </c>
      <c r="C6" s="9" t="n">
        <v>4.9</v>
      </c>
      <c r="D6" s="11">
        <f>A6*C6</f>
        <v/>
      </c>
      <c r="E6" s="11">
        <f>B6*C6</f>
        <v/>
      </c>
      <c r="F6" s="11">
        <f>E6/D6</f>
        <v/>
      </c>
    </row>
    <row r="7">
      <c r="A7" s="9" t="n">
        <v>50</v>
      </c>
      <c r="B7" s="11">
        <f>A7*1000</f>
        <v/>
      </c>
      <c r="C7" s="9" t="n">
        <v>1.5</v>
      </c>
      <c r="D7" s="11">
        <f>A7*C7</f>
        <v/>
      </c>
      <c r="E7" s="11">
        <f>B7*C7</f>
        <v/>
      </c>
      <c r="F7" s="11">
        <f>E7/D7</f>
        <v/>
      </c>
    </row>
    <row r="8">
      <c r="A8" s="9" t="n">
        <v>100</v>
      </c>
      <c r="B8" s="11">
        <f>A8*1000</f>
        <v/>
      </c>
      <c r="C8" s="9" t="n">
        <v>0.8</v>
      </c>
      <c r="D8" s="11">
        <f>A8*C8</f>
        <v/>
      </c>
      <c r="E8" s="11">
        <f>B8*C8</f>
        <v/>
      </c>
      <c r="F8" s="11">
        <f>E8/D8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2026-04-21T19:25:53Z</dcterms:created>
  <dcterms:modified xmlns:dcterms="http://purl.org/dc/terms/" xmlns:xsi="http://www.w3.org/2001/XMLSchema-instance" xsi:type="dcterms:W3CDTF">2026-04-21T19:25:53Z</dcterms:modified>
</cp:coreProperties>
</file>