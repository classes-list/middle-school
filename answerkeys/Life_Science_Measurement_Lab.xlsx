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DUdcm" sheetId="1" state="visible" r:id="rId1"/>
    <sheet xmlns:r="http://schemas.openxmlformats.org/officeDocument/2006/relationships" name="Organism Size" sheetId="2" state="visible" r:id="rId2"/>
    <sheet xmlns:r="http://schemas.openxmlformats.org/officeDocument/2006/relationships" name="Pediatric Dosing" sheetId="3" state="visible" r:id="rId3"/>
    <sheet xmlns:r="http://schemas.openxmlformats.org/officeDocument/2006/relationships" name="Speed Conver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b val="1"/>
      <color rgb="001B3A8A"/>
      <sz val="16"/>
    </font>
    <font>
      <name val="Arial"/>
      <color rgb="00000000"/>
    </font>
    <font>
      <name val="Arial"/>
      <b val="1"/>
      <color rgb="00FFFFFF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1B3A8A"/>
      </patternFill>
    </fill>
    <fill>
      <patternFill patternType="solid">
        <fgColor rgb="00E8EEF9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6" customHeight="1">
      <c r="A1" s="1" t="inlineStr">
        <is>
          <t>KHDUdcm Reference Staircase</t>
        </is>
      </c>
    </row>
    <row r="2" ht="18" customHeight="1">
      <c r="A2" s="2" t="inlineStr">
        <is>
          <t>King Henry Doesn't Usually drink chocolate milk</t>
        </is>
      </c>
    </row>
    <row r="4">
      <c r="A4" s="3" t="inlineStr">
        <is>
          <t>K</t>
        </is>
      </c>
      <c r="B4" s="3" t="inlineStr">
        <is>
          <t>H</t>
        </is>
      </c>
      <c r="C4" s="3" t="inlineStr">
        <is>
          <t>D</t>
        </is>
      </c>
      <c r="D4" s="4" t="inlineStr">
        <is>
          <t>U</t>
        </is>
      </c>
      <c r="E4" s="3" t="inlineStr">
        <is>
          <t>d</t>
        </is>
      </c>
      <c r="F4" s="3" t="inlineStr">
        <is>
          <t>c</t>
        </is>
      </c>
      <c r="G4" s="3" t="inlineStr">
        <is>
          <t>m</t>
        </is>
      </c>
    </row>
    <row r="5">
      <c r="A5" s="5" t="inlineStr">
        <is>
          <t>Kilo</t>
        </is>
      </c>
      <c r="B5" s="5" t="inlineStr">
        <is>
          <t>Hecto</t>
        </is>
      </c>
      <c r="C5" s="5" t="inlineStr">
        <is>
          <t>Deca</t>
        </is>
      </c>
      <c r="D5" s="6" t="inlineStr">
        <is>
          <t>Unit</t>
        </is>
      </c>
      <c r="E5" s="5" t="inlineStr">
        <is>
          <t>deci</t>
        </is>
      </c>
      <c r="F5" s="5" t="inlineStr">
        <is>
          <t>centi</t>
        </is>
      </c>
      <c r="G5" s="5" t="inlineStr">
        <is>
          <t>milli</t>
        </is>
      </c>
    </row>
    <row r="6">
      <c r="A6" s="7" t="n">
        <v>1000</v>
      </c>
      <c r="B6" s="7" t="n">
        <v>100</v>
      </c>
      <c r="C6" s="7" t="n">
        <v>10</v>
      </c>
      <c r="D6" s="8" t="n">
        <v>1</v>
      </c>
      <c r="E6" s="7" t="n">
        <v>0.1</v>
      </c>
      <c r="F6" s="7" t="n">
        <v>0.01</v>
      </c>
      <c r="G6" s="7" t="n">
        <v>0.001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Organism Size Comparator</t>
        </is>
      </c>
    </row>
    <row r="2" ht="18" customHeight="1">
      <c r="A2" s="2" t="inlineStr">
        <is>
          <t>Convert across metric units</t>
        </is>
      </c>
    </row>
    <row r="3" ht="32" customHeight="1">
      <c r="A3" s="9" t="inlineStr">
        <is>
          <t>Organism</t>
        </is>
      </c>
      <c r="B3" s="9" t="inlineStr">
        <is>
          <t>Measure</t>
        </is>
      </c>
      <c r="C3" s="9" t="inlineStr">
        <is>
          <t>Unit</t>
        </is>
      </c>
      <c r="D3" s="9" t="inlineStr">
        <is>
          <t>mm</t>
        </is>
      </c>
      <c r="E3" s="9" t="inlineStr">
        <is>
          <t>cm</t>
        </is>
      </c>
      <c r="F3" s="9" t="inlineStr">
        <is>
          <t>m</t>
        </is>
      </c>
    </row>
    <row r="4">
      <c r="A4" s="10" t="inlineStr">
        <is>
          <t>Blue Whale</t>
        </is>
      </c>
      <c r="B4" s="10" t="n">
        <v>30</v>
      </c>
      <c r="C4" s="10" t="inlineStr">
        <is>
          <t>m</t>
        </is>
      </c>
      <c r="D4" s="11">
        <f>B4*1000</f>
        <v/>
      </c>
      <c r="E4" s="11">
        <f>D4/10</f>
        <v/>
      </c>
      <c r="F4" s="11">
        <f>D4/1000</f>
        <v/>
      </c>
    </row>
    <row r="5">
      <c r="A5" s="10" t="inlineStr">
        <is>
          <t>Giant Squid</t>
        </is>
      </c>
      <c r="B5" s="10" t="n">
        <v>12</v>
      </c>
      <c r="C5" s="10" t="inlineStr">
        <is>
          <t>m</t>
        </is>
      </c>
      <c r="D5" s="11">
        <f>B5*1000</f>
        <v/>
      </c>
      <c r="E5" s="11">
        <f>D5/10</f>
        <v/>
      </c>
      <c r="F5" s="11">
        <f>D5/1000</f>
        <v/>
      </c>
    </row>
    <row r="6">
      <c r="A6" s="10" t="inlineStr">
        <is>
          <t>Great Dane</t>
        </is>
      </c>
      <c r="B6" s="10" t="n">
        <v>1.2</v>
      </c>
      <c r="C6" s="10" t="inlineStr">
        <is>
          <t>m</t>
        </is>
      </c>
      <c r="D6" s="11">
        <f>B6*1000</f>
        <v/>
      </c>
      <c r="E6" s="11">
        <f>D6/10</f>
        <v/>
      </c>
      <c r="F6" s="11">
        <f>D6/1000</f>
        <v/>
      </c>
    </row>
    <row r="7">
      <c r="A7" s="10" t="inlineStr">
        <is>
          <t>House Cat</t>
        </is>
      </c>
      <c r="B7" s="10" t="n">
        <v>45</v>
      </c>
      <c r="C7" s="10" t="inlineStr">
        <is>
          <t>cm</t>
        </is>
      </c>
      <c r="D7" s="11">
        <f>B7*10</f>
        <v/>
      </c>
      <c r="E7" s="11">
        <f>D7/10</f>
        <v/>
      </c>
      <c r="F7" s="11">
        <f>D7/1000</f>
        <v/>
      </c>
    </row>
    <row r="8">
      <c r="A8" s="10" t="inlineStr">
        <is>
          <t>Mouse</t>
        </is>
      </c>
      <c r="B8" s="10" t="n">
        <v>9</v>
      </c>
      <c r="C8" s="10" t="inlineStr">
        <is>
          <t>cm</t>
        </is>
      </c>
      <c r="D8" s="11">
        <f>B8*10</f>
        <v/>
      </c>
      <c r="E8" s="11">
        <f>D8/10</f>
        <v/>
      </c>
      <c r="F8" s="11">
        <f>D8/1000</f>
        <v/>
      </c>
    </row>
    <row r="9">
      <c r="A9" s="10" t="inlineStr">
        <is>
          <t>Beetle</t>
        </is>
      </c>
      <c r="B9" s="10" t="n">
        <v>25</v>
      </c>
      <c r="C9" s="10" t="inlineStr">
        <is>
          <t>mm</t>
        </is>
      </c>
      <c r="D9" s="11">
        <f>B9</f>
        <v/>
      </c>
      <c r="E9" s="11">
        <f>D9/10</f>
        <v/>
      </c>
      <c r="F9" s="11">
        <f>D9/1000</f>
        <v/>
      </c>
    </row>
    <row r="10">
      <c r="A10" s="10" t="inlineStr">
        <is>
          <t>Ant</t>
        </is>
      </c>
      <c r="B10" s="10" t="n">
        <v>6</v>
      </c>
      <c r="C10" s="10" t="inlineStr">
        <is>
          <t>mm</t>
        </is>
      </c>
      <c r="D10" s="11">
        <f>B10</f>
        <v/>
      </c>
      <c r="E10" s="11">
        <f>D10/10</f>
        <v/>
      </c>
      <c r="F10" s="11">
        <f>D10/1000</f>
        <v/>
      </c>
    </row>
    <row r="11">
      <c r="A11" s="10" t="inlineStr">
        <is>
          <t>Flea</t>
        </is>
      </c>
      <c r="B11" s="10" t="n">
        <v>2</v>
      </c>
      <c r="C11" s="10" t="inlineStr">
        <is>
          <t>mm</t>
        </is>
      </c>
      <c r="D11" s="11">
        <f>B11</f>
        <v/>
      </c>
      <c r="E11" s="11">
        <f>D11/10</f>
        <v/>
      </c>
      <c r="F11" s="11">
        <f>D11/1000</f>
        <v/>
      </c>
    </row>
    <row r="12">
      <c r="A12" s="10" t="inlineStr">
        <is>
          <t>Red Blood Cell</t>
        </is>
      </c>
      <c r="B12" s="10" t="n">
        <v>0.008</v>
      </c>
      <c r="C12" s="10" t="inlineStr">
        <is>
          <t>mm</t>
        </is>
      </c>
      <c r="D12" s="11">
        <f>B12</f>
        <v/>
      </c>
      <c r="E12" s="11">
        <f>D12/10</f>
        <v/>
      </c>
      <c r="F12" s="11">
        <f>D12/1000</f>
        <v/>
      </c>
    </row>
    <row r="13">
      <c r="A13" s="10" t="inlineStr">
        <is>
          <t>Tardigrade</t>
        </is>
      </c>
      <c r="B13" s="10" t="n">
        <v>0.5</v>
      </c>
      <c r="C13" s="10" t="inlineStr">
        <is>
          <t>mm</t>
        </is>
      </c>
      <c r="D13" s="11">
        <f>B13</f>
        <v/>
      </c>
      <c r="E13" s="11">
        <f>D13/10</f>
        <v/>
      </c>
      <c r="F13" s="11">
        <f>D13/1000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 ht="26" customHeight="1">
      <c r="A1" s="1" t="inlineStr">
        <is>
          <t>Pediatric Dosing Calculator</t>
        </is>
      </c>
    </row>
    <row r="2" ht="18" customHeight="1">
      <c r="A2" s="2" t="inlineStr">
        <is>
          <t>Weight-based medication dosing</t>
        </is>
      </c>
    </row>
    <row r="3" ht="32" customHeight="1">
      <c r="A3" s="9" t="inlineStr">
        <is>
          <t>Patient</t>
        </is>
      </c>
      <c r="B3" s="9" t="inlineStr">
        <is>
          <t>Weight (kg)</t>
        </is>
      </c>
      <c r="C3" s="9" t="inlineStr">
        <is>
          <t>Dose (mg/kg)</t>
        </is>
      </c>
      <c r="D3" s="9" t="inlineStr">
        <is>
          <t>Total (mg)</t>
        </is>
      </c>
      <c r="E3" s="9" t="inlineStr">
        <is>
          <t>Total (g)</t>
        </is>
      </c>
      <c r="F3" s="9" t="inlineStr">
        <is>
          <t>Safe &lt;500mg?</t>
        </is>
      </c>
    </row>
    <row r="4">
      <c r="A4" s="10" t="inlineStr">
        <is>
          <t>Kenji</t>
        </is>
      </c>
      <c r="B4" s="10" t="n">
        <v>12</v>
      </c>
      <c r="C4" s="10" t="n">
        <v>15</v>
      </c>
      <c r="D4" s="11">
        <f>B4*C4</f>
        <v/>
      </c>
      <c r="E4" s="11">
        <f>D4/1000</f>
        <v/>
      </c>
      <c r="F4" s="11">
        <f>IF(D4&lt;500,"✅ Safe","⚠ Over")</f>
        <v/>
      </c>
    </row>
    <row r="5">
      <c r="A5" s="10" t="inlineStr">
        <is>
          <t>Leilani</t>
        </is>
      </c>
      <c r="B5" s="10" t="n">
        <v>24</v>
      </c>
      <c r="C5" s="10" t="n">
        <v>20</v>
      </c>
      <c r="D5" s="11">
        <f>B5*C5</f>
        <v/>
      </c>
      <c r="E5" s="11">
        <f>D5/1000</f>
        <v/>
      </c>
      <c r="F5" s="11">
        <f>IF(D5&lt;500,"✅ Safe","⚠ Over")</f>
        <v/>
      </c>
    </row>
    <row r="6">
      <c r="A6" s="10" t="inlineStr">
        <is>
          <t>Noah</t>
        </is>
      </c>
      <c r="B6" s="10" t="n">
        <v>18</v>
      </c>
      <c r="C6" s="10" t="n">
        <v>10</v>
      </c>
      <c r="D6" s="11">
        <f>B6*C6</f>
        <v/>
      </c>
      <c r="E6" s="11">
        <f>D6/1000</f>
        <v/>
      </c>
      <c r="F6" s="11">
        <f>IF(D6&lt;500,"✅ Safe","⚠ Over")</f>
        <v/>
      </c>
    </row>
    <row r="7">
      <c r="A7" s="10" t="inlineStr">
        <is>
          <t>Alani</t>
        </is>
      </c>
      <c r="B7" s="10" t="n">
        <v>32</v>
      </c>
      <c r="C7" s="10" t="n">
        <v>25</v>
      </c>
      <c r="D7" s="11">
        <f>B7*C7</f>
        <v/>
      </c>
      <c r="E7" s="11">
        <f>D7/1000</f>
        <v/>
      </c>
      <c r="F7" s="11">
        <f>IF(D7&lt;500,"✅ Safe","⚠ Over")</f>
        <v/>
      </c>
    </row>
    <row r="8">
      <c r="A8" s="10" t="inlineStr">
        <is>
          <t>Kai</t>
        </is>
      </c>
      <c r="B8" s="10" t="n">
        <v>45</v>
      </c>
      <c r="C8" s="10" t="n">
        <v>15</v>
      </c>
      <c r="D8" s="11">
        <f>B8*C8</f>
        <v/>
      </c>
      <c r="E8" s="11">
        <f>D8/1000</f>
        <v/>
      </c>
      <c r="F8" s="11">
        <f>IF(D8&lt;500,"✅ Safe","⚠ Over")</f>
        <v/>
      </c>
    </row>
    <row r="9">
      <c r="A9" s="10" t="inlineStr">
        <is>
          <t>Makoa</t>
        </is>
      </c>
      <c r="B9" s="10" t="n">
        <v>55</v>
      </c>
      <c r="C9" s="10" t="n">
        <v>20</v>
      </c>
      <c r="D9" s="11">
        <f>B9*C9</f>
        <v/>
      </c>
      <c r="E9" s="11">
        <f>D9/1000</f>
        <v/>
      </c>
      <c r="F9" s="11">
        <f>IF(D9&lt;500,"✅ Safe","⚠ Over")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1" t="inlineStr">
        <is>
          <t>Animal Speed Converter</t>
        </is>
      </c>
    </row>
    <row r="2" ht="18" customHeight="1">
      <c r="A2" s="2" t="inlineStr">
        <is>
          <t>km/h to m/s and m/min</t>
        </is>
      </c>
    </row>
    <row r="3" ht="32" customHeight="1">
      <c r="A3" s="9" t="inlineStr">
        <is>
          <t>Animal</t>
        </is>
      </c>
      <c r="B3" s="9" t="inlineStr">
        <is>
          <t>Speed (km/h)</t>
        </is>
      </c>
      <c r="C3" s="9" t="inlineStr">
        <is>
          <t>Speed (m/s)</t>
        </is>
      </c>
      <c r="D3" s="9" t="inlineStr">
        <is>
          <t>Speed (m/min)</t>
        </is>
      </c>
    </row>
    <row r="4">
      <c r="A4" s="10" t="inlineStr">
        <is>
          <t>Cheetah</t>
        </is>
      </c>
      <c r="B4" s="10" t="n">
        <v>120</v>
      </c>
      <c r="C4" s="12">
        <f>B4/3.6</f>
        <v/>
      </c>
      <c r="D4" s="12">
        <f>C4*60</f>
        <v/>
      </c>
    </row>
    <row r="5">
      <c r="A5" s="10" t="inlineStr">
        <is>
          <t>Lion</t>
        </is>
      </c>
      <c r="B5" s="10" t="n">
        <v>80</v>
      </c>
      <c r="C5" s="12">
        <f>B5/3.6</f>
        <v/>
      </c>
      <c r="D5" s="12">
        <f>C5*60</f>
        <v/>
      </c>
    </row>
    <row r="6">
      <c r="A6" s="10" t="inlineStr">
        <is>
          <t>Ostrich</t>
        </is>
      </c>
      <c r="B6" s="10" t="n">
        <v>72</v>
      </c>
      <c r="C6" s="12">
        <f>B6/3.6</f>
        <v/>
      </c>
      <c r="D6" s="12">
        <f>C6*60</f>
        <v/>
      </c>
    </row>
    <row r="7">
      <c r="A7" s="10" t="inlineStr">
        <is>
          <t>Grizzly Bear</t>
        </is>
      </c>
      <c r="B7" s="10" t="n">
        <v>48</v>
      </c>
      <c r="C7" s="12">
        <f>B7/3.6</f>
        <v/>
      </c>
      <c r="D7" s="12">
        <f>C7*60</f>
        <v/>
      </c>
    </row>
    <row r="8">
      <c r="A8" s="10" t="inlineStr">
        <is>
          <t>Human Sprinter</t>
        </is>
      </c>
      <c r="B8" s="10" t="n">
        <v>37</v>
      </c>
      <c r="C8" s="12">
        <f>B8/3.6</f>
        <v/>
      </c>
      <c r="D8" s="12">
        <f>C8*60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