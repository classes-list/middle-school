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nett Calc" sheetId="1" state="visible" r:id="rId1"/>
    <sheet xmlns:r="http://schemas.openxmlformats.org/officeDocument/2006/relationships" name="Observed vs Expected" sheetId="2" state="visible" r:id="rId2"/>
    <sheet xmlns:r="http://schemas.openxmlformats.org/officeDocument/2006/relationships" name="Hawaiian Genetics" sheetId="3" state="visible" r:id="rId3"/>
    <sheet xmlns:r="http://schemas.openxmlformats.org/officeDocument/2006/relationships" name="Allele Frequ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b val="1"/>
    </font>
    <font>
      <name val="Arial"/>
      <color rgb="000000FF"/>
    </font>
    <font>
      <name val="Arial"/>
      <color rgb="0000000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Punnett Square Calculator</t>
        </is>
      </c>
    </row>
    <row r="2" ht="18" customHeight="1">
      <c r="A2" s="2" t="inlineStr">
        <is>
          <t>Customizable 2x2 (B/b × B/b default)</t>
        </is>
      </c>
    </row>
    <row r="4">
      <c r="A4" s="3" t="inlineStr">
        <is>
          <t>Parent 1 alleles:</t>
        </is>
      </c>
      <c r="B4" s="4" t="inlineStr">
        <is>
          <t>B</t>
        </is>
      </c>
      <c r="C4" s="4" t="inlineStr">
        <is>
          <t>b</t>
        </is>
      </c>
    </row>
    <row r="5">
      <c r="A5" s="3" t="inlineStr">
        <is>
          <t>Parent 2 alleles:</t>
        </is>
      </c>
      <c r="B5" s="4" t="inlineStr">
        <is>
          <t>B</t>
        </is>
      </c>
      <c r="C5" s="4" t="inlineStr">
        <is>
          <t>b</t>
        </is>
      </c>
    </row>
    <row r="7">
      <c r="A7" s="5" t="inlineStr">
        <is>
          <t>Punnett:</t>
        </is>
      </c>
      <c r="B7" s="5">
        <f>B4</f>
        <v/>
      </c>
      <c r="C7" s="5">
        <f>C4</f>
        <v/>
      </c>
    </row>
    <row r="8">
      <c r="A8" s="5">
        <f>B5</f>
        <v/>
      </c>
      <c r="B8" s="5">
        <f>B5&amp;B4</f>
        <v/>
      </c>
      <c r="C8" s="5">
        <f>B5&amp;C4</f>
        <v/>
      </c>
    </row>
    <row r="9">
      <c r="A9" s="5">
        <f>C5</f>
        <v/>
      </c>
      <c r="B9" s="5">
        <f>C5&amp;B4</f>
        <v/>
      </c>
      <c r="C9" s="5">
        <f>C5&amp;C4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Observed vs. Mendelian 3:1</t>
        </is>
      </c>
    </row>
    <row r="2" ht="18" customHeight="1">
      <c r="A2" s="2" t="inlineStr">
        <is>
          <t>Chi-square style comparison</t>
        </is>
      </c>
    </row>
    <row r="3" ht="32" customHeight="1">
      <c r="A3" s="6" t="inlineStr">
        <is>
          <t>Cross #</t>
        </is>
      </c>
      <c r="B3" s="6" t="inlineStr">
        <is>
          <t>Total offspring</t>
        </is>
      </c>
      <c r="C3" s="6" t="inlineStr">
        <is>
          <t>Observed Dominant</t>
        </is>
      </c>
      <c r="D3" s="6" t="inlineStr">
        <is>
          <t>Expected Dom (0.75)</t>
        </is>
      </c>
      <c r="E3" s="6" t="inlineStr">
        <is>
          <t>Diff</t>
        </is>
      </c>
    </row>
    <row r="4">
      <c r="A4" s="7" t="n">
        <v>1</v>
      </c>
      <c r="B4" s="7" t="n">
        <v>80</v>
      </c>
      <c r="C4" s="7" t="n">
        <v>62</v>
      </c>
      <c r="D4" s="5">
        <f>B4*0.75</f>
        <v/>
      </c>
      <c r="E4" s="5">
        <f>C4-D4</f>
        <v/>
      </c>
    </row>
    <row r="5">
      <c r="A5" s="7" t="n">
        <v>2</v>
      </c>
      <c r="B5" s="7" t="n">
        <v>100</v>
      </c>
      <c r="C5" s="7" t="n">
        <v>73</v>
      </c>
      <c r="D5" s="5">
        <f>B5*0.75</f>
        <v/>
      </c>
      <c r="E5" s="5">
        <f>C5-D5</f>
        <v/>
      </c>
    </row>
    <row r="6">
      <c r="A6" s="7" t="n">
        <v>3</v>
      </c>
      <c r="B6" s="7" t="n">
        <v>60</v>
      </c>
      <c r="C6" s="7" t="n">
        <v>48</v>
      </c>
      <c r="D6" s="5">
        <f>B6*0.75</f>
        <v/>
      </c>
      <c r="E6" s="5">
        <f>C6-D6</f>
        <v/>
      </c>
    </row>
    <row r="7">
      <c r="A7" s="7" t="n">
        <v>4</v>
      </c>
      <c r="B7" s="7" t="n">
        <v>120</v>
      </c>
      <c r="C7" s="7" t="n">
        <v>89</v>
      </c>
      <c r="D7" s="5">
        <f>B7*0.75</f>
        <v/>
      </c>
      <c r="E7" s="5">
        <f>C7-D7</f>
        <v/>
      </c>
    </row>
    <row r="8">
      <c r="A8" s="7" t="n">
        <v>5</v>
      </c>
      <c r="B8" s="7" t="n">
        <v>40</v>
      </c>
      <c r="C8" s="7" t="n">
        <v>31</v>
      </c>
      <c r="D8" s="5">
        <f>B8*0.75</f>
        <v/>
      </c>
      <c r="E8" s="5">
        <f>C8-D8</f>
        <v/>
      </c>
    </row>
    <row r="9">
      <c r="A9" s="7" t="n">
        <v>6</v>
      </c>
      <c r="B9" s="7" t="n">
        <v>200</v>
      </c>
      <c r="C9" s="7" t="n">
        <v>148</v>
      </c>
      <c r="D9" s="5">
        <f>B9*0.75</f>
        <v/>
      </c>
      <c r="E9" s="5">
        <f>C9-D9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4" customWidth="1" min="5" max="5"/>
    <col width="18" customWidth="1" min="6" max="6"/>
    <col width="28" customWidth="1" min="7" max="7"/>
  </cols>
  <sheetData>
    <row r="1" ht="26" customHeight="1">
      <c r="A1" s="1" t="inlineStr">
        <is>
          <t>Hawaiian Species Genetic Probabilities</t>
        </is>
      </c>
    </row>
    <row r="2" ht="18" customHeight="1">
      <c r="A2" s="2" t="inlineStr">
        <is>
          <t>Trait inheritance</t>
        </is>
      </c>
    </row>
    <row r="3" ht="32" customHeight="1">
      <c r="A3" s="6" t="inlineStr">
        <is>
          <t>Species</t>
        </is>
      </c>
      <c r="B3" s="6" t="inlineStr">
        <is>
          <t>Trait</t>
        </is>
      </c>
      <c r="C3" s="6" t="inlineStr">
        <is>
          <t>Dominant</t>
        </is>
      </c>
      <c r="D3" s="6" t="inlineStr">
        <is>
          <t>Recessive</t>
        </is>
      </c>
      <c r="E3" s="6" t="inlineStr">
        <is>
          <t>Cross</t>
        </is>
      </c>
      <c r="F3" s="6" t="inlineStr">
        <is>
          <t>P(rec phenotype)</t>
        </is>
      </c>
      <c r="G3" s="6" t="inlineStr">
        <is>
          <t>Conservation Note</t>
        </is>
      </c>
    </row>
    <row r="4">
      <c r="A4" s="7" t="inlineStr">
        <is>
          <t>Nene Goose</t>
        </is>
      </c>
      <c r="B4" s="7" t="inlineStr">
        <is>
          <t>Feather color</t>
        </is>
      </c>
      <c r="C4" s="7" t="inlineStr">
        <is>
          <t>D</t>
        </is>
      </c>
      <c r="D4" s="7" t="inlineStr">
        <is>
          <t>d</t>
        </is>
      </c>
      <c r="E4" s="7" t="inlineStr">
        <is>
          <t>Dd×Dd</t>
        </is>
      </c>
      <c r="F4" s="7" t="n">
        <v>0.25</v>
      </c>
      <c r="G4" s="7" t="inlineStr">
        <is>
          <t>Genetic diversity low</t>
        </is>
      </c>
    </row>
    <row r="5">
      <c r="A5" s="7" t="inlineStr">
        <is>
          <t>Kiwikiu</t>
        </is>
      </c>
      <c r="B5" s="7" t="inlineStr">
        <is>
          <t>Bill length</t>
        </is>
      </c>
      <c r="C5" s="7" t="inlineStr">
        <is>
          <t>L</t>
        </is>
      </c>
      <c r="D5" s="7" t="inlineStr">
        <is>
          <t>l</t>
        </is>
      </c>
      <c r="E5" s="7" t="inlineStr">
        <is>
          <t>Ll×ll</t>
        </is>
      </c>
      <c r="F5" s="7" t="n">
        <v>0.5</v>
      </c>
      <c r="G5" s="7" t="inlineStr">
        <is>
          <t>Only 150 birds remain</t>
        </is>
      </c>
    </row>
    <row r="6">
      <c r="A6" s="7" t="inlineStr">
        <is>
          <t>Iiwi</t>
        </is>
      </c>
      <c r="B6" s="7" t="inlineStr">
        <is>
          <t>Resistance to malaria</t>
        </is>
      </c>
      <c r="C6" s="7" t="inlineStr">
        <is>
          <t>R</t>
        </is>
      </c>
      <c r="D6" s="7" t="inlineStr">
        <is>
          <t>r</t>
        </is>
      </c>
      <c r="E6" s="7" t="inlineStr">
        <is>
          <t>Rr×Rr</t>
        </is>
      </c>
      <c r="F6" s="7" t="n">
        <v>0.25</v>
      </c>
      <c r="G6" s="7" t="inlineStr">
        <is>
          <t>Climate-sensitive</t>
        </is>
      </c>
    </row>
    <row r="7">
      <c r="A7" s="7" t="inlineStr">
        <is>
          <t>Palila</t>
        </is>
      </c>
      <c r="B7" s="7" t="inlineStr">
        <is>
          <t>Heat tolerance</t>
        </is>
      </c>
      <c r="C7" s="7" t="inlineStr">
        <is>
          <t>T</t>
        </is>
      </c>
      <c r="D7" s="7" t="inlineStr">
        <is>
          <t>t</t>
        </is>
      </c>
      <c r="E7" s="7" t="inlineStr">
        <is>
          <t>Tt×Tt</t>
        </is>
      </c>
      <c r="F7" s="7" t="n">
        <v>0.25</v>
      </c>
      <c r="G7" s="7" t="inlineStr">
        <is>
          <t>Habitat loss critical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Allele Frequency Over Generations</t>
        </is>
      </c>
    </row>
    <row r="2" ht="18" customHeight="1">
      <c r="A2" s="2" t="inlineStr">
        <is>
          <t>Population drift</t>
        </is>
      </c>
    </row>
    <row r="3" ht="32" customHeight="1">
      <c r="A3" s="6" t="inlineStr">
        <is>
          <t>Generation</t>
        </is>
      </c>
      <c r="B3" s="6" t="inlineStr">
        <is>
          <t>Total Pop</t>
        </is>
      </c>
      <c r="C3" s="6" t="inlineStr">
        <is>
          <t>B alleles</t>
        </is>
      </c>
      <c r="D3" s="6" t="inlineStr">
        <is>
          <t>Freq(B)</t>
        </is>
      </c>
    </row>
    <row r="4">
      <c r="A4" s="7" t="n">
        <v>1</v>
      </c>
      <c r="B4" s="7" t="n">
        <v>200</v>
      </c>
      <c r="C4" s="7" t="n">
        <v>120</v>
      </c>
      <c r="D4" s="8">
        <f>C4/(B4*2)</f>
        <v/>
      </c>
    </row>
    <row r="5">
      <c r="A5" s="7" t="n">
        <v>2</v>
      </c>
      <c r="B5" s="7" t="n">
        <v>210</v>
      </c>
      <c r="C5" s="7" t="n">
        <v>118</v>
      </c>
      <c r="D5" s="8">
        <f>C5/(B5*2)</f>
        <v/>
      </c>
    </row>
    <row r="6">
      <c r="A6" s="7" t="n">
        <v>3</v>
      </c>
      <c r="B6" s="7" t="n">
        <v>195</v>
      </c>
      <c r="C6" s="7" t="n">
        <v>111</v>
      </c>
      <c r="D6" s="8">
        <f>C6/(B6*2)</f>
        <v/>
      </c>
    </row>
    <row r="7">
      <c r="A7" s="7" t="n">
        <v>4</v>
      </c>
      <c r="B7" s="7" t="n">
        <v>180</v>
      </c>
      <c r="C7" s="7" t="n">
        <v>99</v>
      </c>
      <c r="D7" s="8">
        <f>C7/(B7*2)</f>
        <v/>
      </c>
    </row>
    <row r="8">
      <c r="A8" s="7" t="n">
        <v>5</v>
      </c>
      <c r="B8" s="7" t="n">
        <v>175</v>
      </c>
      <c r="C8" s="7" t="n">
        <v>92</v>
      </c>
      <c r="D8" s="8">
        <f>C8/(B8*2)</f>
        <v/>
      </c>
    </row>
    <row r="9">
      <c r="A9" s="7" t="n">
        <v>6</v>
      </c>
      <c r="B9" s="7" t="n">
        <v>170</v>
      </c>
      <c r="C9" s="7" t="n">
        <v>86</v>
      </c>
      <c r="D9" s="8">
        <f>C9/(B9*2)</f>
        <v/>
      </c>
    </row>
    <row r="10">
      <c r="A10" s="7" t="n">
        <v>7</v>
      </c>
      <c r="B10" s="7" t="n">
        <v>168</v>
      </c>
      <c r="C10" s="7" t="n">
        <v>82</v>
      </c>
      <c r="D10" s="8">
        <f>C10/(B10*2)</f>
        <v/>
      </c>
    </row>
    <row r="11">
      <c r="A11" s="7" t="n">
        <v>8</v>
      </c>
      <c r="B11" s="7" t="n">
        <v>165</v>
      </c>
      <c r="C11" s="7" t="n">
        <v>78</v>
      </c>
      <c r="D11" s="8">
        <f>C11/(B11*2)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