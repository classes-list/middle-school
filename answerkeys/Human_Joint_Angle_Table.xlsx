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t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Joint Range of Motion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'Joint Angles'!E3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'Joint Angles'!$A$4:$A$9</f>
            </numRef>
          </cat>
          <val>
            <numRef>
              <f>'Joint Angles'!$E$4:$E$9</f>
            </numRef>
          </val>
        </ser>
        <ser>
          <idx val="1"/>
          <order val="1"/>
          <tx>
            <strRef>
              <f>'Joint Angles'!F3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'Joint Angles'!$A$4:$A$9</f>
            </numRef>
          </cat>
          <val>
            <numRef>
              <f>'Joint Angles'!$F$4:$F$9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20" customWidth="1" min="4" max="4"/>
    <col width="12" customWidth="1" min="5" max="5"/>
    <col width="12" customWidth="1" min="6" max="6"/>
  </cols>
  <sheetData>
    <row r="1" ht="26" customHeight="1">
      <c r="A1" s="1" t="inlineStr">
        <is>
          <t>Human Joint Angle Reference</t>
        </is>
      </c>
    </row>
    <row r="2" ht="18" customHeight="1">
      <c r="A2" s="2" t="inlineStr">
        <is>
          <t>Supplementary, complementary, ROM</t>
        </is>
      </c>
    </row>
    <row r="3" ht="32" customHeight="1">
      <c r="A3" s="3" t="inlineStr">
        <is>
          <t>Joint</t>
        </is>
      </c>
      <c r="B3" s="3" t="inlineStr">
        <is>
          <t>Resting Angle</t>
        </is>
      </c>
      <c r="C3" s="3" t="inlineStr">
        <is>
          <t>Supplementary (180−)</t>
        </is>
      </c>
      <c r="D3" s="3" t="inlineStr">
        <is>
          <t>Complementary (90−)</t>
        </is>
      </c>
      <c r="E3" s="3" t="inlineStr">
        <is>
          <t>ROM Min</t>
        </is>
      </c>
      <c r="F3" s="3" t="inlineStr">
        <is>
          <t>ROM Max</t>
        </is>
      </c>
    </row>
    <row r="4">
      <c r="A4" s="4" t="inlineStr">
        <is>
          <t>Knee</t>
        </is>
      </c>
      <c r="B4" s="4" t="n">
        <v>170</v>
      </c>
      <c r="C4" s="5">
        <f>180-B4</f>
        <v/>
      </c>
      <c r="D4" s="5">
        <f>IF(B4&lt;=90,90-B4,"N/A")</f>
        <v/>
      </c>
      <c r="E4" s="4" t="n">
        <v>0</v>
      </c>
      <c r="F4" s="4" t="n">
        <v>140</v>
      </c>
    </row>
    <row r="5">
      <c r="A5" s="4" t="inlineStr">
        <is>
          <t>Elbow</t>
        </is>
      </c>
      <c r="B5" s="4" t="n">
        <v>170</v>
      </c>
      <c r="C5" s="5">
        <f>180-B5</f>
        <v/>
      </c>
      <c r="D5" s="5">
        <f>IF(B5&lt;=90,90-B5,"N/A")</f>
        <v/>
      </c>
      <c r="E5" s="4" t="n">
        <v>0</v>
      </c>
      <c r="F5" s="4" t="n">
        <v>150</v>
      </c>
    </row>
    <row r="6">
      <c r="A6" s="4" t="inlineStr">
        <is>
          <t>Hip</t>
        </is>
      </c>
      <c r="B6" s="4" t="n">
        <v>120</v>
      </c>
      <c r="C6" s="5">
        <f>180-B6</f>
        <v/>
      </c>
      <c r="D6" s="5">
        <f>IF(B6&lt;=90,90-B6,"N/A")</f>
        <v/>
      </c>
      <c r="E6" s="4" t="n">
        <v>0</v>
      </c>
      <c r="F6" s="4" t="n">
        <v>130</v>
      </c>
    </row>
    <row r="7">
      <c r="A7" s="4" t="inlineStr">
        <is>
          <t>Shoulder</t>
        </is>
      </c>
      <c r="B7" s="4" t="n">
        <v>90</v>
      </c>
      <c r="C7" s="5">
        <f>180-B7</f>
        <v/>
      </c>
      <c r="D7" s="5">
        <f>IF(B7&lt;=90,90-B7,"N/A")</f>
        <v/>
      </c>
      <c r="E7" s="4" t="n">
        <v>0</v>
      </c>
      <c r="F7" s="4" t="n">
        <v>180</v>
      </c>
    </row>
    <row r="8">
      <c r="A8" s="4" t="inlineStr">
        <is>
          <t>Wrist</t>
        </is>
      </c>
      <c r="B8" s="4" t="n">
        <v>0</v>
      </c>
      <c r="C8" s="5">
        <f>180-B8</f>
        <v/>
      </c>
      <c r="D8" s="5">
        <f>IF(B8&lt;=90,90-B8,"N/A")</f>
        <v/>
      </c>
      <c r="E8" s="4" t="n">
        <v>-90</v>
      </c>
      <c r="F8" s="4" t="n">
        <v>90</v>
      </c>
    </row>
    <row r="9">
      <c r="A9" s="4" t="inlineStr">
        <is>
          <t>Ankle</t>
        </is>
      </c>
      <c r="B9" s="4" t="n">
        <v>90</v>
      </c>
      <c r="C9" s="5">
        <f>180-B9</f>
        <v/>
      </c>
      <c r="D9" s="5">
        <f>IF(B9&lt;=90,90-B9,"N/A")</f>
        <v/>
      </c>
      <c r="E9" s="4" t="n">
        <v>20</v>
      </c>
      <c r="F9" s="4" t="n">
        <v>50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2026-04-21T19:20:43Z</dcterms:created>
  <dcterms:modified xmlns:dcterms="http://purl.org/dc/terms/" xmlns:xsi="http://www.w3.org/2001/XMLSchema-instance" xsi:type="dcterms:W3CDTF">2026-04-21T19:20:43Z</dcterms:modified>
</cp:coreProperties>
</file>