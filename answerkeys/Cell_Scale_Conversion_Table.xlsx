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 Conver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Scale Size by Organelle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'Scale Conversions'!C3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 Conversions'!$A$4:$A$11</f>
            </numRef>
          </cat>
          <val>
            <numRef>
              <f>'Scale Conversions'!$C$4:$C$11</f>
            </numRef>
          </val>
        </ser>
        <ser>
          <idx val="1"/>
          <order val="1"/>
          <tx>
            <strRef>
              <f>'Scale Conversions'!D3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 Conversions'!$A$4:$A$11</f>
            </numRef>
          </cat>
          <val>
            <numRef>
              <f>'Scale Conversions'!$D$4:$D$11</f>
            </numRef>
          </val>
        </ser>
        <ser>
          <idx val="2"/>
          <order val="2"/>
          <tx>
            <strRef>
              <f>'Scale Conversions'!E3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 Conversions'!$A$4:$A$11</f>
            </numRef>
          </cat>
          <val>
            <numRef>
              <f>'Scale Conversions'!$E$4:$E$11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Cell Organelle Scale Conversion Table</t>
        </is>
      </c>
    </row>
    <row r="2" ht="18" customHeight="1">
      <c r="A2" s="2" t="inlineStr">
        <is>
          <t>Drawn sizes at 100×, 1000×, 10000×</t>
        </is>
      </c>
    </row>
    <row r="3" ht="32" customHeight="1">
      <c r="A3" s="3" t="inlineStr">
        <is>
          <t>Organelle</t>
        </is>
      </c>
      <c r="B3" s="3" t="inlineStr">
        <is>
          <t>Actual (µm)</t>
        </is>
      </c>
      <c r="C3" s="3" t="inlineStr">
        <is>
          <t>100× drawn</t>
        </is>
      </c>
      <c r="D3" s="3" t="inlineStr">
        <is>
          <t>1000× drawn</t>
        </is>
      </c>
      <c r="E3" s="3" t="inlineStr">
        <is>
          <t>10000× drawn</t>
        </is>
      </c>
    </row>
    <row r="4">
      <c r="A4" s="4" t="inlineStr">
        <is>
          <t>Cell Membrane</t>
        </is>
      </c>
      <c r="B4" s="4" t="n">
        <v>10</v>
      </c>
      <c r="C4" s="5">
        <f>B4*100</f>
        <v/>
      </c>
      <c r="D4" s="5">
        <f>B4*1000</f>
        <v/>
      </c>
      <c r="E4" s="5">
        <f>B4*10000</f>
        <v/>
      </c>
    </row>
    <row r="5">
      <c r="A5" s="4" t="inlineStr">
        <is>
          <t>Nucleus</t>
        </is>
      </c>
      <c r="B5" s="4" t="n">
        <v>6</v>
      </c>
      <c r="C5" s="5">
        <f>B5*100</f>
        <v/>
      </c>
      <c r="D5" s="5">
        <f>B5*1000</f>
        <v/>
      </c>
      <c r="E5" s="5">
        <f>B5*10000</f>
        <v/>
      </c>
    </row>
    <row r="6">
      <c r="A6" s="4" t="inlineStr">
        <is>
          <t>Mitochondria</t>
        </is>
      </c>
      <c r="B6" s="4" t="n">
        <v>2</v>
      </c>
      <c r="C6" s="5">
        <f>B6*100</f>
        <v/>
      </c>
      <c r="D6" s="5">
        <f>B6*1000</f>
        <v/>
      </c>
      <c r="E6" s="5">
        <f>B6*10000</f>
        <v/>
      </c>
    </row>
    <row r="7">
      <c r="A7" s="4" t="inlineStr">
        <is>
          <t>Ribosome</t>
        </is>
      </c>
      <c r="B7" s="4" t="n">
        <v>0.02</v>
      </c>
      <c r="C7" s="5">
        <f>B7*100</f>
        <v/>
      </c>
      <c r="D7" s="5">
        <f>B7*1000</f>
        <v/>
      </c>
      <c r="E7" s="5">
        <f>B7*10000</f>
        <v/>
      </c>
    </row>
    <row r="8">
      <c r="A8" s="4" t="inlineStr">
        <is>
          <t>Lysosome</t>
        </is>
      </c>
      <c r="B8" s="4" t="n">
        <v>0.5</v>
      </c>
      <c r="C8" s="5">
        <f>B8*100</f>
        <v/>
      </c>
      <c r="D8" s="5">
        <f>B8*1000</f>
        <v/>
      </c>
      <c r="E8" s="5">
        <f>B8*10000</f>
        <v/>
      </c>
    </row>
    <row r="9">
      <c r="A9" s="4" t="inlineStr">
        <is>
          <t>Vacuole</t>
        </is>
      </c>
      <c r="B9" s="4" t="n">
        <v>3</v>
      </c>
      <c r="C9" s="5">
        <f>B9*100</f>
        <v/>
      </c>
      <c r="D9" s="5">
        <f>B9*1000</f>
        <v/>
      </c>
      <c r="E9" s="5">
        <f>B9*10000</f>
        <v/>
      </c>
    </row>
    <row r="10">
      <c r="A10" s="4" t="inlineStr">
        <is>
          <t>Chloroplast</t>
        </is>
      </c>
      <c r="B10" s="4" t="n">
        <v>5</v>
      </c>
      <c r="C10" s="5">
        <f>B10*100</f>
        <v/>
      </c>
      <c r="D10" s="5">
        <f>B10*1000</f>
        <v/>
      </c>
      <c r="E10" s="5">
        <f>B10*10000</f>
        <v/>
      </c>
    </row>
    <row r="11">
      <c r="A11" s="4" t="inlineStr">
        <is>
          <t>ER</t>
        </is>
      </c>
      <c r="B11" s="4" t="n">
        <v>0.1</v>
      </c>
      <c r="C11" s="5">
        <f>B11*100</f>
        <v/>
      </c>
      <c r="D11" s="5">
        <f>B11*1000</f>
        <v/>
      </c>
      <c r="E11" s="5">
        <f>B11*10000</f>
        <v/>
      </c>
    </row>
    <row r="14">
      <c r="A14" s="6" t="inlineStr">
        <is>
          <t>Reverse: 15 µm drawn at 1000× → actual size</t>
        </is>
      </c>
      <c r="B14" s="7">
        <f>15/1000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