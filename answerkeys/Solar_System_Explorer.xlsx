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wers_of_10" sheetId="1" state="visible" r:id="rId3"/>
    <sheet name="Solar_System" sheetId="2" state="visible" r:id="rId4"/>
    <sheet name="Comparison" sheetId="3" state="visible" r:id="rId5"/>
    <sheet name="Earth_Timelin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<sst xmlns="http://schemas.openxmlformats.org/spreadsheetml/2006/main" count="100" uniqueCount="76">
  <si>
    <t xml:space="preserve">Powers of 10 Reference</t>
  </si>
  <si>
    <t xml:space="preserve">Exponent → 10^n → standard form → real-world analog</t>
  </si>
  <si>
    <t xml:space="preserve">Exponent (n)</t>
  </si>
  <si>
    <t xml:space="preserve">10^n (formula)</t>
  </si>
  <si>
    <t xml:space="preserve">Standard Form</t>
  </si>
  <si>
    <t xml:space="preserve">This is about…</t>
  </si>
  <si>
    <t xml:space="preserve">10 — a handspan (cm)</t>
  </si>
  <si>
    <t xml:space="preserve">100 — a classroom wall (cm)</t>
  </si>
  <si>
    <t xml:space="preserve">1,000 — about 1 km in meters</t>
  </si>
  <si>
    <t xml:space="preserve">10,000 — a small town population</t>
  </si>
  <si>
    <t xml:space="preserve">100,000 — a city population</t>
  </si>
  <si>
    <t xml:space="preserve">1,000,000 — population of Honolulu metro</t>
  </si>
  <si>
    <t xml:space="preserve">10,000,000 — population of a large state</t>
  </si>
  <si>
    <t xml:space="preserve">100,000,000 — distance Earth to Moon in meters</t>
  </si>
  <si>
    <t xml:space="preserve">1,000,000,000 — a billion (world population scale)</t>
  </si>
  <si>
    <t xml:space="preserve">10,000,000,000 — ten billion</t>
  </si>
  <si>
    <t xml:space="preserve">100,000,000,000 — distance Earth→Sun in m (~1.5×10¹¹)</t>
  </si>
  <si>
    <t xml:space="preserve">1,000,000,000,000 — age of universe in years order</t>
  </si>
  <si>
    <t xml:space="preserve">Solar System Data Table</t>
  </si>
  <si>
    <t xml:space="preserve">Distances and diameters — scientific notation check</t>
  </si>
  <si>
    <t xml:space="preserve">Object</t>
  </si>
  <si>
    <t xml:space="preserve">Distance from Sun (km)</t>
  </si>
  <si>
    <t xml:space="preserve">Scientific Notation (typed)</t>
  </si>
  <si>
    <t xml:space="preserve">Diameter (km)</t>
  </si>
  <si>
    <t xml:space="preserve">Diameter Sci. Not.</t>
  </si>
  <si>
    <t xml:space="preserve">Check</t>
  </si>
  <si>
    <t xml:space="preserve">Sun</t>
  </si>
  <si>
    <t xml:space="preserve">0</t>
  </si>
  <si>
    <t xml:space="preserve">1.39E+06</t>
  </si>
  <si>
    <t xml:space="preserve">Mercury</t>
  </si>
  <si>
    <t xml:space="preserve">5.79E+07</t>
  </si>
  <si>
    <t xml:space="preserve">4.88E+03</t>
  </si>
  <si>
    <t xml:space="preserve">Venus</t>
  </si>
  <si>
    <t xml:space="preserve">1.08E+08</t>
  </si>
  <si>
    <t xml:space="preserve">1.21E+04</t>
  </si>
  <si>
    <t xml:space="preserve">Earth</t>
  </si>
  <si>
    <t xml:space="preserve">1.50E+08</t>
  </si>
  <si>
    <t xml:space="preserve">1.27E+04</t>
  </si>
  <si>
    <t xml:space="preserve">Moon</t>
  </si>
  <si>
    <t xml:space="preserve">3.47E+03</t>
  </si>
  <si>
    <t xml:space="preserve">Mars</t>
  </si>
  <si>
    <t xml:space="preserve">2.28E+08</t>
  </si>
  <si>
    <t xml:space="preserve">6.78E+03</t>
  </si>
  <si>
    <t xml:space="preserve">Jupiter</t>
  </si>
  <si>
    <t xml:space="preserve">7.79E+08</t>
  </si>
  <si>
    <t xml:space="preserve">1.40E+05</t>
  </si>
  <si>
    <t xml:space="preserve">Saturn</t>
  </si>
  <si>
    <t xml:space="preserve">1.43E+09</t>
  </si>
  <si>
    <t xml:space="preserve">1.16E+05</t>
  </si>
  <si>
    <t xml:space="preserve">Uranus</t>
  </si>
  <si>
    <t xml:space="preserve">2.87E+09</t>
  </si>
  <si>
    <t xml:space="preserve">5.07E+04</t>
  </si>
  <si>
    <t xml:space="preserve">Neptune</t>
  </si>
  <si>
    <t xml:space="preserve">4.50E+09</t>
  </si>
  <si>
    <t xml:space="preserve">4.92E+04</t>
  </si>
  <si>
    <t xml:space="preserve">Mercury→Neptune distance ≈ 4.495×10⁹ − 5.79×10⁷ ≈ 4.44×10⁹ km. Neptune is about 4.495×10⁹ / 5.79×10⁷ ≈ 77.6× farther than Mercury.</t>
  </si>
  <si>
    <t xml:space="preserve">Comparison &amp; Ordering</t>
  </si>
  <si>
    <t xml:space="preserve">Sorted distances from smallest to largest</t>
  </si>
  <si>
    <t xml:space="preserve">Scientific Notation</t>
  </si>
  <si>
    <t xml:space="preserve">↑ Note: Linear scale compresses small distances. A log-scale chart reveals the full range.</t>
  </si>
  <si>
    <t xml:space="preserve">Age of Earth Timeline</t>
  </si>
  <si>
    <t xml:space="preserve">Major geological events in scientific notation</t>
  </si>
  <si>
    <t xml:space="preserve">Event</t>
  </si>
  <si>
    <t xml:space="preserve">Years Ago (standard)</t>
  </si>
  <si>
    <t xml:space="preserve">Formation of Earth</t>
  </si>
  <si>
    <t xml:space="preserve">First life</t>
  </si>
  <si>
    <t xml:space="preserve">3.80E+09</t>
  </si>
  <si>
    <t xml:space="preserve">First fish</t>
  </si>
  <si>
    <t xml:space="preserve">5.00E+08</t>
  </si>
  <si>
    <t xml:space="preserve">First dinosaurs</t>
  </si>
  <si>
    <t xml:space="preserve">2.30E+08</t>
  </si>
  <si>
    <t xml:space="preserve">Mass extinction</t>
  </si>
  <si>
    <t xml:space="preserve">6.60E+07</t>
  </si>
  <si>
    <t xml:space="preserve">First humans</t>
  </si>
  <si>
    <t xml:space="preserve">3.00E+05</t>
  </si>
  <si>
    <t xml:space="preserve">Today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</si>
</sst>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1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Distance from Sun (sorted, linear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Comparison!B3</c:f>
              <c:strCache>
                <c:ptCount val="1"/>
                <c:pt idx="0">
                  <c:v>Distance from Sun (km)</c:v>
                </c:pt>
              </c:strCache>
            </c:strRef>
          </c:tx>
          <c:spPr>
            <a:solidFill>
              <a:srgbClr val="4F81BD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Comparison!$A$4:$A$12</c:f>
              <c:strCache>
                <c:ptCount val="9"/>
                <c:pt idx="0">
                  <c:v>Mercury</c:v>
                </c:pt>
                <c:pt idx="1">
                  <c:v>Venus</c:v>
                </c:pt>
                <c:pt idx="2">
                  <c:v>Earth</c:v>
                </c:pt>
                <c:pt idx="3">
                  <c:v>Moon</c:v>
                </c:pt>
                <c:pt idx="4">
                  <c:v>Mars</c:v>
                </c:pt>
                <c:pt idx="5">
                  <c:v>Jupiter</c:v>
                </c:pt>
                <c:pt idx="6">
                  <c:v>Saturn</c:v>
                </c:pt>
                <c:pt idx="7">
                  <c:v>Uranus</c:v>
                </c:pt>
                <c:pt idx="8">
                  <c:v>Neptune</c:v>
                </c:pt>
              </c:strCache>
            </c:strRef>
          </c:cat>
          <c:val>
            <c:numRef>
              <c:f>Comparison!$B$4:$B$12</c:f>
              <c:numCache>
                <c:formatCode>#,##0</c:formatCode>
                <c:ptCount val="9"/>
                <c:pt idx="0">
                  <c:v>57900000</c:v>
                </c:pt>
                <c:pt idx="1">
                  <c:v>108200000</c:v>
                </c:pt>
                <c:pt idx="2">
                  <c:v>149600000</c:v>
                </c:pt>
                <c:pt idx="3">
                  <c:v>149984400</c:v>
                </c:pt>
                <c:pt idx="4">
                  <c:v>227900000</c:v>
                </c:pt>
                <c:pt idx="5">
                  <c:v>778500000</c:v>
                </c:pt>
                <c:pt idx="6">
                  <c:v>1434000000</c:v>
                </c:pt>
                <c:pt idx="7">
                  <c:v>2871000000</c:v>
                </c:pt>
                <c:pt idx="8">
                  <c:v>4495000000</c:v>
                </c:pt>
              </c:numCache>
            </c:numRef>
          </c:val>
        </c:ser>
        <c:gapWidth val="150"/>
        <c:overlap val="0"/>
        <c:axId val="88287904"/>
        <c:axId val="34070828"/>
      </c:barChart>
      <c:catAx>
        <c:axId val="882879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Object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070828"/>
        <c:crosses val="autoZero"/>
        <c:auto val="1"/>
        <c:lblAlgn val="ctr"/>
        <c:lblOffset val="100"/>
        <c:noMultiLvlLbl val="0"/>
      </c:catAx>
      <c:valAx>
        <c:axId val="340708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km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28790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13</xdr:col>
      <xdr:colOff>255600</xdr:colOff>
      <xdr:row>19</xdr:row>
      <xdr:rowOff>150840</xdr:rowOff>
    </xdr:to>
    <xdr:graphicFrame>
      <xdr:nvGraphicFramePr>
        <xdr:cNvPr id="1" name="Chart 1"/>
        <xdr:cNvGraphicFramePr/>
      </xdr:nvGraphicFramePr>
      <xdr:xfrm>
        <a:off x="4699800" y="552600"/>
        <a:ext cx="5758920" cy="359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22"/>
    <col collapsed="false" customWidth="true" hidden="false" outlineLevel="0" max="4" min="4" style="1" width="55"/>
  </cols>
  <sheetData>
    <row r="1" customFormat="false" ht="25.5" hidden="false" customHeight="true" outlineLevel="0" collapsed="false">
      <c r="A1" s="2" t="s">
        <v>0</v>
      </c>
      <c r="B1" s="2"/>
      <c r="C1" s="2"/>
      <c r="D1" s="2"/>
    </row>
    <row r="2" customFormat="false" ht="18" hidden="false" customHeight="true" outlineLevel="0" collapsed="false">
      <c r="A2" s="3" t="s">
        <v>1</v>
      </c>
      <c r="B2" s="3"/>
      <c r="C2" s="3"/>
      <c r="D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4" customFormat="false" ht="15" hidden="false" customHeight="false" outlineLevel="0" collapsed="false">
      <c r="A4" s="5" t="n">
        <v>1</v>
      </c>
      <c r="B4" s="6" t="n">
        <f aca="false">10^A4</f>
        <v>10</v>
      </c>
      <c r="C4" s="7" t="n">
        <v>10</v>
      </c>
      <c r="D4" s="8" t="s">
        <v>6</v>
      </c>
    </row>
    <row r="5" customFormat="false" ht="15" hidden="false" customHeight="false" outlineLevel="0" collapsed="false">
      <c r="A5" s="5" t="n">
        <v>2</v>
      </c>
      <c r="B5" s="6" t="n">
        <f aca="false">10^A5</f>
        <v>100</v>
      </c>
      <c r="C5" s="7" t="n">
        <v>100</v>
      </c>
      <c r="D5" s="8" t="s">
        <v>7</v>
      </c>
    </row>
    <row r="6" customFormat="false" ht="15" hidden="false" customHeight="false" outlineLevel="0" collapsed="false">
      <c r="A6" s="5" t="n">
        <v>3</v>
      </c>
      <c r="B6" s="6" t="n">
        <f aca="false">10^A6</f>
        <v>1000</v>
      </c>
      <c r="C6" s="7" t="n">
        <v>1000</v>
      </c>
      <c r="D6" s="8" t="s">
        <v>8</v>
      </c>
    </row>
    <row r="7" customFormat="false" ht="15" hidden="false" customHeight="false" outlineLevel="0" collapsed="false">
      <c r="A7" s="5" t="n">
        <v>4</v>
      </c>
      <c r="B7" s="6" t="n">
        <f aca="false">10^A7</f>
        <v>10000</v>
      </c>
      <c r="C7" s="7" t="n">
        <v>10000</v>
      </c>
      <c r="D7" s="8" t="s">
        <v>9</v>
      </c>
    </row>
    <row r="8" customFormat="false" ht="15" hidden="false" customHeight="false" outlineLevel="0" collapsed="false">
      <c r="A8" s="5" t="n">
        <v>5</v>
      </c>
      <c r="B8" s="6" t="n">
        <f aca="false">10^A8</f>
        <v>100000</v>
      </c>
      <c r="C8" s="7" t="n">
        <v>100000</v>
      </c>
      <c r="D8" s="8" t="s">
        <v>10</v>
      </c>
    </row>
    <row r="9" customFormat="false" ht="15" hidden="false" customHeight="false" outlineLevel="0" collapsed="false">
      <c r="A9" s="5" t="n">
        <v>6</v>
      </c>
      <c r="B9" s="6" t="n">
        <f aca="false">10^A9</f>
        <v>1000000</v>
      </c>
      <c r="C9" s="7" t="n">
        <v>1000000</v>
      </c>
      <c r="D9" s="8" t="s">
        <v>11</v>
      </c>
    </row>
    <row r="10" customFormat="false" ht="15" hidden="false" customHeight="false" outlineLevel="0" collapsed="false">
      <c r="A10" s="5" t="n">
        <v>7</v>
      </c>
      <c r="B10" s="6" t="n">
        <f aca="false">10^A10</f>
        <v>10000000</v>
      </c>
      <c r="C10" s="7" t="n">
        <v>10000000</v>
      </c>
      <c r="D10" s="8" t="s">
        <v>12</v>
      </c>
    </row>
    <row r="11" customFormat="false" ht="15" hidden="false" customHeight="false" outlineLevel="0" collapsed="false">
      <c r="A11" s="5" t="n">
        <v>8</v>
      </c>
      <c r="B11" s="6" t="n">
        <f aca="false">10^A11</f>
        <v>100000000</v>
      </c>
      <c r="C11" s="7" t="n">
        <v>100000000</v>
      </c>
      <c r="D11" s="8" t="s">
        <v>13</v>
      </c>
    </row>
    <row r="12" customFormat="false" ht="15" hidden="false" customHeight="false" outlineLevel="0" collapsed="false">
      <c r="A12" s="5" t="n">
        <v>9</v>
      </c>
      <c r="B12" s="6" t="n">
        <f aca="false">10^A12</f>
        <v>1000000000</v>
      </c>
      <c r="C12" s="7" t="n">
        <v>1000000000</v>
      </c>
      <c r="D12" s="8" t="s">
        <v>14</v>
      </c>
    </row>
    <row r="13" customFormat="false" ht="15" hidden="false" customHeight="false" outlineLevel="0" collapsed="false">
      <c r="A13" s="5" t="n">
        <v>10</v>
      </c>
      <c r="B13" s="6" t="n">
        <f aca="false">10^A13</f>
        <v>10000000000</v>
      </c>
      <c r="C13" s="7" t="n">
        <v>10000000000</v>
      </c>
      <c r="D13" s="8" t="s">
        <v>15</v>
      </c>
    </row>
    <row r="14" customFormat="false" ht="15" hidden="false" customHeight="false" outlineLevel="0" collapsed="false">
      <c r="A14" s="5" t="n">
        <v>11</v>
      </c>
      <c r="B14" s="6" t="n">
        <f aca="false">10^A14</f>
        <v>100000000000</v>
      </c>
      <c r="C14" s="7" t="n">
        <v>100000000000</v>
      </c>
      <c r="D14" s="8" t="s">
        <v>16</v>
      </c>
    </row>
    <row r="15" customFormat="false" ht="15" hidden="false" customHeight="false" outlineLevel="0" collapsed="false">
      <c r="A15" s="5" t="n">
        <v>12</v>
      </c>
      <c r="B15" s="6" t="n">
        <f aca="false">10^A15</f>
        <v>1000000000000</v>
      </c>
      <c r="C15" s="7" t="n">
        <v>1000000000000</v>
      </c>
      <c r="D15" s="8" t="s">
        <v>17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2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0"/>
  </cols>
  <sheetData>
    <row r="1" customFormat="false" ht="25.5" hidden="false" customHeight="true" outlineLevel="0" collapsed="false">
      <c r="A1" s="2" t="s">
        <v>18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19</v>
      </c>
      <c r="B2" s="3"/>
      <c r="C2" s="3"/>
      <c r="D2" s="3"/>
      <c r="E2" s="3"/>
      <c r="F2" s="3"/>
    </row>
    <row r="3" customFormat="false" ht="31.5" hidden="false" customHeight="tru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</row>
    <row r="4" customFormat="false" ht="15" hidden="false" customHeight="false" outlineLevel="0" collapsed="false">
      <c r="A4" s="5" t="s">
        <v>26</v>
      </c>
      <c r="B4" s="7" t="n">
        <v>0</v>
      </c>
      <c r="C4" s="5" t="s">
        <v>27</v>
      </c>
      <c r="D4" s="7" t="n">
        <v>1391000</v>
      </c>
      <c r="E4" s="5" t="s">
        <v>28</v>
      </c>
      <c r="F4" s="6" t="str">
        <f aca="false">IF(C4=TEXT(B4,"0.00E+00"),"✓","Review")</f>
        <v>Review</v>
      </c>
    </row>
    <row r="5" customFormat="false" ht="15" hidden="false" customHeight="false" outlineLevel="0" collapsed="false">
      <c r="A5" s="5" t="s">
        <v>29</v>
      </c>
      <c r="B5" s="7" t="n">
        <v>57900000</v>
      </c>
      <c r="C5" s="5" t="s">
        <v>30</v>
      </c>
      <c r="D5" s="7" t="n">
        <v>4879</v>
      </c>
      <c r="E5" s="5" t="s">
        <v>31</v>
      </c>
      <c r="F5" s="6" t="str">
        <f aca="false">IF(C5=TEXT(B5,"0.00E+00"),"✓","Review")</f>
        <v>✓</v>
      </c>
    </row>
    <row r="6" customFormat="false" ht="15" hidden="false" customHeight="false" outlineLevel="0" collapsed="false">
      <c r="A6" s="5" t="s">
        <v>32</v>
      </c>
      <c r="B6" s="7" t="n">
        <v>108200000</v>
      </c>
      <c r="C6" s="5" t="s">
        <v>33</v>
      </c>
      <c r="D6" s="7" t="n">
        <v>12104</v>
      </c>
      <c r="E6" s="5" t="s">
        <v>34</v>
      </c>
      <c r="F6" s="6" t="str">
        <f aca="false">IF(C6=TEXT(B6,"0.00E+00"),"✓","Review")</f>
        <v>✓</v>
      </c>
    </row>
    <row r="7" customFormat="false" ht="15" hidden="false" customHeight="false" outlineLevel="0" collapsed="false">
      <c r="A7" s="5" t="s">
        <v>35</v>
      </c>
      <c r="B7" s="7" t="n">
        <v>149600000</v>
      </c>
      <c r="C7" s="5" t="s">
        <v>36</v>
      </c>
      <c r="D7" s="7" t="n">
        <v>12742</v>
      </c>
      <c r="E7" s="5" t="s">
        <v>37</v>
      </c>
      <c r="F7" s="6" t="str">
        <f aca="false">IF(C7=TEXT(B7,"0.00E+00"),"✓","Review")</f>
        <v>✓</v>
      </c>
    </row>
    <row r="8" customFormat="false" ht="15" hidden="false" customHeight="false" outlineLevel="0" collapsed="false">
      <c r="A8" s="5" t="s">
        <v>38</v>
      </c>
      <c r="B8" s="7" t="n">
        <v>149984400</v>
      </c>
      <c r="C8" s="5" t="s">
        <v>36</v>
      </c>
      <c r="D8" s="7" t="n">
        <v>3474</v>
      </c>
      <c r="E8" s="5" t="s">
        <v>39</v>
      </c>
      <c r="F8" s="6" t="str">
        <f aca="false">IF(C8=TEXT(B8,"0.00E+00"),"✓","Review")</f>
        <v>✓</v>
      </c>
    </row>
    <row r="9" customFormat="false" ht="15" hidden="false" customHeight="false" outlineLevel="0" collapsed="false">
      <c r="A9" s="5" t="s">
        <v>40</v>
      </c>
      <c r="B9" s="7" t="n">
        <v>227900000</v>
      </c>
      <c r="C9" s="5" t="s">
        <v>41</v>
      </c>
      <c r="D9" s="7" t="n">
        <v>6779</v>
      </c>
      <c r="E9" s="5" t="s">
        <v>42</v>
      </c>
      <c r="F9" s="6" t="str">
        <f aca="false">IF(C9=TEXT(B9,"0.00E+00"),"✓","Review")</f>
        <v>✓</v>
      </c>
    </row>
    <row r="10" customFormat="false" ht="15" hidden="false" customHeight="false" outlineLevel="0" collapsed="false">
      <c r="A10" s="5" t="s">
        <v>43</v>
      </c>
      <c r="B10" s="7" t="n">
        <v>778500000</v>
      </c>
      <c r="C10" s="5" t="s">
        <v>44</v>
      </c>
      <c r="D10" s="7" t="n">
        <v>139820</v>
      </c>
      <c r="E10" s="5" t="s">
        <v>45</v>
      </c>
      <c r="F10" s="6" t="str">
        <f aca="false">IF(C10=TEXT(B10,"0.00E+00"),"✓","Review")</f>
        <v>✓</v>
      </c>
    </row>
    <row r="11" customFormat="false" ht="15" hidden="false" customHeight="false" outlineLevel="0" collapsed="false">
      <c r="A11" s="5" t="s">
        <v>46</v>
      </c>
      <c r="B11" s="7" t="n">
        <v>1434000000</v>
      </c>
      <c r="C11" s="5" t="s">
        <v>47</v>
      </c>
      <c r="D11" s="7" t="n">
        <v>116460</v>
      </c>
      <c r="E11" s="5" t="s">
        <v>48</v>
      </c>
      <c r="F11" s="6" t="str">
        <f aca="false">IF(C11=TEXT(B11,"0.00E+00"),"✓","Review")</f>
        <v>✓</v>
      </c>
    </row>
    <row r="12" customFormat="false" ht="15" hidden="false" customHeight="false" outlineLevel="0" collapsed="false">
      <c r="A12" s="5" t="s">
        <v>49</v>
      </c>
      <c r="B12" s="7" t="n">
        <v>2871000000</v>
      </c>
      <c r="C12" s="5" t="s">
        <v>50</v>
      </c>
      <c r="D12" s="7" t="n">
        <v>50724</v>
      </c>
      <c r="E12" s="5" t="s">
        <v>51</v>
      </c>
      <c r="F12" s="6" t="str">
        <f aca="false">IF(C12=TEXT(B12,"0.00E+00"),"✓","Review")</f>
        <v>✓</v>
      </c>
    </row>
    <row r="13" customFormat="false" ht="15" hidden="false" customHeight="false" outlineLevel="0" collapsed="false">
      <c r="A13" s="5" t="s">
        <v>52</v>
      </c>
      <c r="B13" s="7" t="n">
        <v>4495000000</v>
      </c>
      <c r="C13" s="5" t="s">
        <v>53</v>
      </c>
      <c r="D13" s="7" t="n">
        <v>49244</v>
      </c>
      <c r="E13" s="5" t="s">
        <v>54</v>
      </c>
      <c r="F13" s="6" t="str">
        <f aca="false">IF(C13=TEXT(B13,"0.00E+00"),"✓","Review")</f>
        <v>✓</v>
      </c>
    </row>
    <row r="16" customFormat="false" ht="15" hidden="false" customHeight="true" outlineLevel="0" collapsed="false">
      <c r="A16" s="9" t="s">
        <v>55</v>
      </c>
      <c r="B16" s="9"/>
      <c r="C16" s="9"/>
      <c r="D16" s="9"/>
      <c r="E16" s="9"/>
      <c r="F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</row>
  </sheetData>
  <mergeCells count="3">
    <mergeCell ref="A1:F1"/>
    <mergeCell ref="A2:F2"/>
    <mergeCell ref="A16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22"/>
  </cols>
  <sheetData>
    <row r="1" customFormat="false" ht="25.5" hidden="false" customHeight="true" outlineLevel="0" collapsed="false">
      <c r="A1" s="2" t="s">
        <v>56</v>
      </c>
      <c r="B1" s="2"/>
      <c r="C1" s="2"/>
    </row>
    <row r="2" customFormat="false" ht="18" hidden="false" customHeight="true" outlineLevel="0" collapsed="false">
      <c r="A2" s="3" t="s">
        <v>57</v>
      </c>
      <c r="B2" s="3"/>
      <c r="C2" s="3"/>
    </row>
    <row r="3" customFormat="false" ht="31.5" hidden="false" customHeight="true" outlineLevel="0" collapsed="false">
      <c r="A3" s="4" t="s">
        <v>20</v>
      </c>
      <c r="B3" s="4" t="s">
        <v>21</v>
      </c>
      <c r="C3" s="4" t="s">
        <v>58</v>
      </c>
    </row>
    <row r="4" customFormat="false" ht="15" hidden="false" customHeight="false" outlineLevel="0" collapsed="false">
      <c r="A4" s="5" t="s">
        <v>29</v>
      </c>
      <c r="B4" s="7" t="n">
        <v>57900000</v>
      </c>
      <c r="C4" s="5" t="s">
        <v>30</v>
      </c>
    </row>
    <row r="5" customFormat="false" ht="15" hidden="false" customHeight="false" outlineLevel="0" collapsed="false">
      <c r="A5" s="5" t="s">
        <v>32</v>
      </c>
      <c r="B5" s="7" t="n">
        <v>108200000</v>
      </c>
      <c r="C5" s="5" t="s">
        <v>33</v>
      </c>
    </row>
    <row r="6" customFormat="false" ht="15" hidden="false" customHeight="false" outlineLevel="0" collapsed="false">
      <c r="A6" s="5" t="s">
        <v>35</v>
      </c>
      <c r="B6" s="7" t="n">
        <v>149600000</v>
      </c>
      <c r="C6" s="5" t="s">
        <v>36</v>
      </c>
    </row>
    <row r="7" customFormat="false" ht="15" hidden="false" customHeight="false" outlineLevel="0" collapsed="false">
      <c r="A7" s="5" t="s">
        <v>38</v>
      </c>
      <c r="B7" s="7" t="n">
        <v>149984400</v>
      </c>
      <c r="C7" s="5" t="s">
        <v>36</v>
      </c>
    </row>
    <row r="8" customFormat="false" ht="15" hidden="false" customHeight="false" outlineLevel="0" collapsed="false">
      <c r="A8" s="5" t="s">
        <v>40</v>
      </c>
      <c r="B8" s="7" t="n">
        <v>227900000</v>
      </c>
      <c r="C8" s="5" t="s">
        <v>41</v>
      </c>
    </row>
    <row r="9" customFormat="false" ht="15" hidden="false" customHeight="false" outlineLevel="0" collapsed="false">
      <c r="A9" s="5" t="s">
        <v>43</v>
      </c>
      <c r="B9" s="7" t="n">
        <v>778500000</v>
      </c>
      <c r="C9" s="5" t="s">
        <v>44</v>
      </c>
    </row>
    <row r="10" customFormat="false" ht="15" hidden="false" customHeight="false" outlineLevel="0" collapsed="false">
      <c r="A10" s="5" t="s">
        <v>46</v>
      </c>
      <c r="B10" s="7" t="n">
        <v>1434000000</v>
      </c>
      <c r="C10" s="5" t="s">
        <v>47</v>
      </c>
    </row>
    <row r="11" customFormat="false" ht="15" hidden="false" customHeight="false" outlineLevel="0" collapsed="false">
      <c r="A11" s="5" t="s">
        <v>49</v>
      </c>
      <c r="B11" s="7" t="n">
        <v>2871000000</v>
      </c>
      <c r="C11" s="5" t="s">
        <v>50</v>
      </c>
    </row>
    <row r="12" customFormat="false" ht="15" hidden="false" customHeight="false" outlineLevel="0" collapsed="false">
      <c r="A12" s="5" t="s">
        <v>52</v>
      </c>
      <c r="B12" s="7" t="n">
        <v>4495000000</v>
      </c>
      <c r="C12" s="5" t="s">
        <v>53</v>
      </c>
    </row>
    <row r="20" customFormat="false" ht="15" hidden="false" customHeight="false" outlineLevel="0" collapsed="false">
      <c r="E20" s="10" t="s">
        <v>59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3" min="2" style="1" width="22"/>
  </cols>
  <sheetData>
    <row r="1" customFormat="false" ht="25.5" hidden="false" customHeight="true" outlineLevel="0" collapsed="false">
      <c r="A1" s="2" t="s">
        <v>60</v>
      </c>
      <c r="B1" s="2"/>
      <c r="C1" s="2"/>
    </row>
    <row r="2" customFormat="false" ht="18" hidden="false" customHeight="true" outlineLevel="0" collapsed="false">
      <c r="A2" s="3" t="s">
        <v>61</v>
      </c>
      <c r="B2" s="3"/>
      <c r="C2" s="3"/>
    </row>
    <row r="3" customFormat="false" ht="31.5" hidden="false" customHeight="true" outlineLevel="0" collapsed="false">
      <c r="A3" s="4" t="s">
        <v>62</v>
      </c>
      <c r="B3" s="4" t="s">
        <v>63</v>
      </c>
      <c r="C3" s="4" t="s">
        <v>58</v>
      </c>
    </row>
    <row r="4" customFormat="false" ht="15" hidden="false" customHeight="false" outlineLevel="0" collapsed="false">
      <c r="A4" s="8" t="s">
        <v>64</v>
      </c>
      <c r="B4" s="7" t="n">
        <v>4500000000</v>
      </c>
      <c r="C4" s="5" t="s">
        <v>53</v>
      </c>
    </row>
    <row r="5" customFormat="false" ht="15" hidden="false" customHeight="false" outlineLevel="0" collapsed="false">
      <c r="A5" s="8" t="s">
        <v>65</v>
      </c>
      <c r="B5" s="7" t="n">
        <v>3800000000</v>
      </c>
      <c r="C5" s="5" t="s">
        <v>66</v>
      </c>
    </row>
    <row r="6" customFormat="false" ht="15" hidden="false" customHeight="false" outlineLevel="0" collapsed="false">
      <c r="A6" s="8" t="s">
        <v>67</v>
      </c>
      <c r="B6" s="7" t="n">
        <v>500000000</v>
      </c>
      <c r="C6" s="5" t="s">
        <v>68</v>
      </c>
    </row>
    <row r="7" customFormat="false" ht="15" hidden="false" customHeight="false" outlineLevel="0" collapsed="false">
      <c r="A7" s="8" t="s">
        <v>69</v>
      </c>
      <c r="B7" s="7" t="n">
        <v>230000000</v>
      </c>
      <c r="C7" s="5" t="s">
        <v>70</v>
      </c>
    </row>
    <row r="8" customFormat="false" ht="15" hidden="false" customHeight="false" outlineLevel="0" collapsed="false">
      <c r="A8" s="8" t="s">
        <v>71</v>
      </c>
      <c r="B8" s="7" t="n">
        <v>66000000</v>
      </c>
      <c r="C8" s="5" t="s">
        <v>72</v>
      </c>
    </row>
    <row r="9" customFormat="false" ht="15" hidden="false" customHeight="false" outlineLevel="0" collapsed="false">
      <c r="A9" s="8" t="s">
        <v>73</v>
      </c>
      <c r="B9" s="7" t="n">
        <v>300000</v>
      </c>
      <c r="C9" s="5" t="s">
        <v>74</v>
      </c>
    </row>
    <row r="10" customFormat="false" ht="15" hidden="false" customHeight="false" outlineLevel="0" collapsed="false">
      <c r="A10" s="8" t="s">
        <v>75</v>
      </c>
      <c r="B10" s="7" t="n">
        <v>0</v>
      </c>
      <c r="C10" s="5" t="s">
        <v>27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2026-04-21T18:50:44Z</dcterms:created>
  <dc:creator>openpyxl</dc:creator>
  <dc:description/>
  <dc:language>en-US</dc:language>
  <cp:lastModifiedBy/>
  <dcterms:modified xsi:type="dcterms:W3CDTF">2026-04-21T19:02:10Z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