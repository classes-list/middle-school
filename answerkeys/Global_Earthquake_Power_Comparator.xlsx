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s_10_Ref" sheetId="1" state="visible" r:id="rId3"/>
    <sheet name="Historic_DB" sheetId="2" state="visible" r:id="rId4"/>
    <sheet name="Comparator" sheetId="3" state="visible" r:id="rId5"/>
    <sheet name="Energy_Relea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<sst xmlns="http://schemas.openxmlformats.org/spreadsheetml/2006/main" count="39" uniqueCount="37">
  <si>
    <t xml:space="preserve">Richter Scale — Powers of 10 Reference</t>
  </si>
  <si>
    <t xml:space="preserve">Ground motion doubles each 0.3 units; 10× each whole unit</t>
  </si>
  <si>
    <t xml:space="preserve">Magnitude</t>
  </si>
  <si>
    <t xml:space="preserve">Ground Motion =10^M</t>
  </si>
  <si>
    <t xml:space="preserve">Standard Form</t>
  </si>
  <si>
    <t xml:space="preserve">Relative to M1 =B/B$4</t>
  </si>
  <si>
    <t xml:space="preserve">Linear scale flattens low-magnitude bars because M9 is 1 billion× M1. A logarithmic y-axis fixes this.</t>
  </si>
  <si>
    <t xml:space="preserve">Historic Earthquake Database</t>
  </si>
  <si>
    <t xml:space="preserve">10 real earthquakes with calculated ground motion</t>
  </si>
  <si>
    <t xml:space="preserve">Year</t>
  </si>
  <si>
    <t xml:space="preserve">Location</t>
  </si>
  <si>
    <t xml:space="preserve">Ground Motion =10^C</t>
  </si>
  <si>
    <t xml:space="preserve">Ratio to M5.0 =D/10^5</t>
  </si>
  <si>
    <t xml:space="preserve">Deaths (approx)</t>
  </si>
  <si>
    <t xml:space="preserve">Damage Category</t>
  </si>
  <si>
    <t xml:space="preserve">Chile</t>
  </si>
  <si>
    <t xml:space="preserve">Japan (Tohoku)</t>
  </si>
  <si>
    <t xml:space="preserve">Indian Ocean</t>
  </si>
  <si>
    <t xml:space="preserve">San Francisco</t>
  </si>
  <si>
    <t xml:space="preserve">Northridge, CA</t>
  </si>
  <si>
    <t xml:space="preserve">Haiti</t>
  </si>
  <si>
    <t xml:space="preserve">Loma Prieta</t>
  </si>
  <si>
    <t xml:space="preserve">Nepal</t>
  </si>
  <si>
    <t xml:space="preserve">Turkey–Syria</t>
  </si>
  <si>
    <t xml:space="preserve">Puerto Rico</t>
  </si>
  <si>
    <t xml:space="preserve">Magnitude Comparator</t>
  </si>
  <si>
    <t xml:space="preserve">Enter two magnitudes; get ratio</t>
  </si>
  <si>
    <t xml:space="preserve">Magnitude 1:</t>
  </si>
  <si>
    <t xml:space="preserve">Magnitude 2:</t>
  </si>
  <si>
    <t xml:space="preserve">Ground motion ratio (Q1/Q2):</t>
  </si>
  <si>
    <t xml:space="preserve">Which is stronger?</t>
  </si>
  <si>
    <t xml:space="preserve">Energy ratio (Q1/Q2):</t>
  </si>
  <si>
    <t xml:space="preserve">Description:</t>
  </si>
  <si>
    <t xml:space="preserve">Energy Release vs Magnitude</t>
  </si>
  <si>
    <t xml:space="preserve">Energy scales as 10^(1.5M)</t>
  </si>
  <si>
    <t xml:space="preserve">Relative Energy =10^(1.5·M)</t>
  </si>
  <si>
    <t xml:space="preserve">M9 vs M6: energy ratio = 10^(1.5×3) = 10^4.5 ≈ 31,623×.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</si>
</sst>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\×"/>
    <numFmt numFmtId="167" formatCode="0.0"/>
    <numFmt numFmtId="168" formatCode="#,##0.0\×"/>
    <numFmt numFmtId="169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Ground motion vs magnitude (linear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Powers_10_Ref!B3</c:f>
              <c:strCache>
                <c:ptCount val="1"/>
                <c:pt idx="0">
                  <c:v>Ground Motion =10^M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Powers_10_Ref!$A$4:$A$12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Powers_10_Ref!$B$4:$B$12</c:f>
              <c:numCache>
                <c:formatCode>#,##0</c:formatCode>
                <c:ptCount val="9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  <c:pt idx="6">
                  <c:v>10000000</c:v>
                </c:pt>
                <c:pt idx="7">
                  <c:v>100000000</c:v>
                </c:pt>
                <c:pt idx="8">
                  <c:v>1000000000</c:v>
                </c:pt>
              </c:numCache>
            </c:numRef>
          </c:val>
        </c:ser>
        <c:gapWidth val="150"/>
        <c:overlap val="0"/>
        <c:axId val="74225561"/>
        <c:axId val="13377577"/>
      </c:barChart>
      <c:catAx>
        <c:axId val="742255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Magnitude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377577"/>
        <c:crosses val="autoZero"/>
        <c:auto val="1"/>
        <c:lblAlgn val="ctr"/>
        <c:lblOffset val="100"/>
        <c:noMultiLvlLbl val="0"/>
      </c:catAx>
      <c:valAx>
        <c:axId val="13377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Ground motion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2255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Relative energy by magnitude (linear)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Energy_Release!B3</c:f>
              <c:strCache>
                <c:ptCount val="1"/>
                <c:pt idx="0">
                  <c:v>Relative Energy =10^(1.5·M)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Energy_Release!$A$4:$A$12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Energy_Release!$B$4:$B$12</c:f>
              <c:numCache>
                <c:formatCode>#,##0</c:formatCode>
                <c:ptCount val="9"/>
                <c:pt idx="0">
                  <c:v>31.6227766016838</c:v>
                </c:pt>
                <c:pt idx="1">
                  <c:v>1000</c:v>
                </c:pt>
                <c:pt idx="2">
                  <c:v>31622.7766016838</c:v>
                </c:pt>
                <c:pt idx="3">
                  <c:v>1000000</c:v>
                </c:pt>
                <c:pt idx="4">
                  <c:v>31622776.6016838</c:v>
                </c:pt>
                <c:pt idx="5">
                  <c:v>1000000000</c:v>
                </c:pt>
                <c:pt idx="6">
                  <c:v>31622776601.6838</c:v>
                </c:pt>
                <c:pt idx="7">
                  <c:v>1000000000000</c:v>
                </c:pt>
                <c:pt idx="8">
                  <c:v>31622776601683.8</c:v>
                </c:pt>
              </c:numCache>
            </c:numRef>
          </c:val>
        </c:ser>
        <c:gapWidth val="150"/>
        <c:overlap val="0"/>
        <c:axId val="98250163"/>
        <c:axId val="99356090"/>
      </c:barChart>
      <c:catAx>
        <c:axId val="982501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Magnitude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356090"/>
        <c:crosses val="autoZero"/>
        <c:auto val="1"/>
        <c:lblAlgn val="ctr"/>
        <c:lblOffset val="100"/>
        <c:noMultiLvlLbl val="0"/>
      </c:catAx>
      <c:valAx>
        <c:axId val="993560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Relative Energy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2501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363960</xdr:colOff>
      <xdr:row>21</xdr:row>
      <xdr:rowOff>129960</xdr:rowOff>
    </xdr:to>
    <xdr:graphicFrame>
      <xdr:nvGraphicFramePr>
        <xdr:cNvPr id="1" name="Chart 1"/>
        <xdr:cNvGraphicFramePr/>
      </xdr:nvGraphicFramePr>
      <xdr:xfrm>
        <a:off x="582732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13</xdr:col>
      <xdr:colOff>363960</xdr:colOff>
      <xdr:row>21</xdr:row>
      <xdr:rowOff>129960</xdr:rowOff>
    </xdr:to>
    <xdr:graphicFrame>
      <xdr:nvGraphicFramePr>
        <xdr:cNvPr id="2" name="Chart 1"/>
        <xdr:cNvGraphicFramePr/>
      </xdr:nvGraphicFramePr>
      <xdr:xfrm>
        <a:off x="357192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n">
        <v>1</v>
      </c>
      <c r="B4" s="6" t="n">
        <f aca="false">10^A4</f>
        <v>10</v>
      </c>
      <c r="C4" s="7" t="n">
        <v>10</v>
      </c>
      <c r="D4" s="8" t="n">
        <f aca="false">B4/B$4</f>
        <v>1</v>
      </c>
    </row>
    <row r="5" customFormat="false" ht="15" hidden="false" customHeight="false" outlineLevel="0" collapsed="false">
      <c r="A5" s="5" t="n">
        <v>2</v>
      </c>
      <c r="B5" s="6" t="n">
        <f aca="false">10^A5</f>
        <v>100</v>
      </c>
      <c r="C5" s="7" t="n">
        <v>100</v>
      </c>
      <c r="D5" s="8" t="n">
        <f aca="false">B5/B$4</f>
        <v>10</v>
      </c>
    </row>
    <row r="6" customFormat="false" ht="15" hidden="false" customHeight="false" outlineLevel="0" collapsed="false">
      <c r="A6" s="5" t="n">
        <v>3</v>
      </c>
      <c r="B6" s="6" t="n">
        <f aca="false">10^A6</f>
        <v>1000</v>
      </c>
      <c r="C6" s="7" t="n">
        <v>1000</v>
      </c>
      <c r="D6" s="8" t="n">
        <f aca="false">B6/B$4</f>
        <v>100</v>
      </c>
    </row>
    <row r="7" customFormat="false" ht="15" hidden="false" customHeight="false" outlineLevel="0" collapsed="false">
      <c r="A7" s="5" t="n">
        <v>4</v>
      </c>
      <c r="B7" s="6" t="n">
        <f aca="false">10^A7</f>
        <v>10000</v>
      </c>
      <c r="C7" s="7" t="n">
        <v>10000</v>
      </c>
      <c r="D7" s="8" t="n">
        <f aca="false">B7/B$4</f>
        <v>1000</v>
      </c>
    </row>
    <row r="8" customFormat="false" ht="15" hidden="false" customHeight="false" outlineLevel="0" collapsed="false">
      <c r="A8" s="5" t="n">
        <v>5</v>
      </c>
      <c r="B8" s="6" t="n">
        <f aca="false">10^A8</f>
        <v>100000</v>
      </c>
      <c r="C8" s="7" t="n">
        <v>100000</v>
      </c>
      <c r="D8" s="8" t="n">
        <f aca="false">B8/B$4</f>
        <v>10000</v>
      </c>
    </row>
    <row r="9" customFormat="false" ht="15" hidden="false" customHeight="false" outlineLevel="0" collapsed="false">
      <c r="A9" s="5" t="n">
        <v>6</v>
      </c>
      <c r="B9" s="6" t="n">
        <f aca="false">10^A9</f>
        <v>1000000</v>
      </c>
      <c r="C9" s="7" t="n">
        <v>1000000</v>
      </c>
      <c r="D9" s="8" t="n">
        <f aca="false">B9/B$4</f>
        <v>100000</v>
      </c>
    </row>
    <row r="10" customFormat="false" ht="15" hidden="false" customHeight="false" outlineLevel="0" collapsed="false">
      <c r="A10" s="5" t="n">
        <v>7</v>
      </c>
      <c r="B10" s="6" t="n">
        <f aca="false">10^A10</f>
        <v>10000000</v>
      </c>
      <c r="C10" s="7" t="n">
        <v>10000000</v>
      </c>
      <c r="D10" s="8" t="n">
        <f aca="false">B10/B$4</f>
        <v>1000000</v>
      </c>
    </row>
    <row r="11" customFormat="false" ht="15" hidden="false" customHeight="false" outlineLevel="0" collapsed="false">
      <c r="A11" s="5" t="n">
        <v>8</v>
      </c>
      <c r="B11" s="6" t="n">
        <f aca="false">10^A11</f>
        <v>100000000</v>
      </c>
      <c r="C11" s="7" t="n">
        <v>100000000</v>
      </c>
      <c r="D11" s="8" t="n">
        <f aca="false">B11/B$4</f>
        <v>10000000</v>
      </c>
    </row>
    <row r="12" customFormat="false" ht="15" hidden="false" customHeight="false" outlineLevel="0" collapsed="false">
      <c r="A12" s="5" t="n">
        <v>9</v>
      </c>
      <c r="B12" s="6" t="n">
        <f aca="false">10^A12</f>
        <v>1000000000</v>
      </c>
      <c r="C12" s="7" t="n">
        <v>1000000000</v>
      </c>
      <c r="D12" s="8" t="n">
        <f aca="false">B12/B$4</f>
        <v>100000000</v>
      </c>
    </row>
    <row r="13" customFormat="false" ht="15" hidden="false" customHeight="false" outlineLevel="0" collapsed="false">
      <c r="A13" s="5" t="n">
        <v>10</v>
      </c>
      <c r="B13" s="6" t="n">
        <f aca="false">10^A13</f>
        <v>10000000000</v>
      </c>
      <c r="C13" s="7" t="n">
        <v>10000000000</v>
      </c>
      <c r="D13" s="8" t="n">
        <f aca="false">B13/B$4</f>
        <v>1000000000</v>
      </c>
    </row>
    <row r="22" customFormat="false" ht="15" hidden="false" customHeight="false" outlineLevel="0" collapsed="false">
      <c r="F22" s="9" t="s">
        <v>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7" min="4" style="1" width="18"/>
  </cols>
  <sheetData>
    <row r="1" customFormat="false" ht="25.5" hidden="false" customHeight="true" outlineLevel="0" collapsed="false">
      <c r="A1" s="2" t="s">
        <v>7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8</v>
      </c>
      <c r="B2" s="3"/>
      <c r="C2" s="3"/>
      <c r="D2" s="3"/>
      <c r="E2" s="3"/>
      <c r="F2" s="3"/>
      <c r="G2" s="3"/>
    </row>
    <row r="3" customFormat="false" ht="31.5" hidden="false" customHeight="true" outlineLevel="0" collapsed="false">
      <c r="A3" s="4" t="s">
        <v>9</v>
      </c>
      <c r="B3" s="4" t="s">
        <v>10</v>
      </c>
      <c r="C3" s="4" t="s">
        <v>2</v>
      </c>
      <c r="D3" s="4" t="s">
        <v>11</v>
      </c>
      <c r="E3" s="4" t="s">
        <v>12</v>
      </c>
      <c r="F3" s="4" t="s">
        <v>13</v>
      </c>
      <c r="G3" s="4" t="s">
        <v>14</v>
      </c>
    </row>
    <row r="4" customFormat="false" ht="15" hidden="false" customHeight="false" outlineLevel="0" collapsed="false">
      <c r="A4" s="5" t="n">
        <v>1960</v>
      </c>
      <c r="B4" s="10" t="s">
        <v>15</v>
      </c>
      <c r="C4" s="11" t="n">
        <v>9.5</v>
      </c>
      <c r="D4" s="6" t="n">
        <f aca="false">10^C4</f>
        <v>3162277660.16838</v>
      </c>
      <c r="E4" s="12" t="n">
        <f aca="false">D4/10^5</f>
        <v>31622.7766016838</v>
      </c>
      <c r="F4" s="7" t="n">
        <v>1655000</v>
      </c>
      <c r="G4" s="13" t="str">
        <f aca="false">IF(C4&gt;=8,"Great",IF(C4&gt;=7,"Major",IF(C4&gt;=5,"Moderate","Minor")))</f>
        <v>Great</v>
      </c>
    </row>
    <row r="5" customFormat="false" ht="15" hidden="false" customHeight="false" outlineLevel="0" collapsed="false">
      <c r="A5" s="5" t="n">
        <v>2011</v>
      </c>
      <c r="B5" s="10" t="s">
        <v>16</v>
      </c>
      <c r="C5" s="11" t="n">
        <v>9</v>
      </c>
      <c r="D5" s="6" t="n">
        <f aca="false">10^C5</f>
        <v>1000000000</v>
      </c>
      <c r="E5" s="12" t="n">
        <f aca="false">D5/10^5</f>
        <v>10000</v>
      </c>
      <c r="F5" s="7" t="n">
        <v>19759</v>
      </c>
      <c r="G5" s="13" t="str">
        <f aca="false">IF(C5&gt;=8,"Great",IF(C5&gt;=7,"Major",IF(C5&gt;=5,"Moderate","Minor")))</f>
        <v>Great</v>
      </c>
    </row>
    <row r="6" customFormat="false" ht="15" hidden="false" customHeight="false" outlineLevel="0" collapsed="false">
      <c r="A6" s="5" t="n">
        <v>2004</v>
      </c>
      <c r="B6" s="10" t="s">
        <v>17</v>
      </c>
      <c r="C6" s="11" t="n">
        <v>9.1</v>
      </c>
      <c r="D6" s="6" t="n">
        <f aca="false">10^C6</f>
        <v>1258925411.79417</v>
      </c>
      <c r="E6" s="12" t="n">
        <f aca="false">D6/10^5</f>
        <v>12589.2541179417</v>
      </c>
      <c r="F6" s="7" t="n">
        <v>230000</v>
      </c>
      <c r="G6" s="13" t="str">
        <f aca="false">IF(C6&gt;=8,"Great",IF(C6&gt;=7,"Major",IF(C6&gt;=5,"Moderate","Minor")))</f>
        <v>Great</v>
      </c>
    </row>
    <row r="7" customFormat="false" ht="15" hidden="false" customHeight="false" outlineLevel="0" collapsed="false">
      <c r="A7" s="5" t="n">
        <v>1906</v>
      </c>
      <c r="B7" s="10" t="s">
        <v>18</v>
      </c>
      <c r="C7" s="11" t="n">
        <v>7.9</v>
      </c>
      <c r="D7" s="6" t="n">
        <f aca="false">10^C7</f>
        <v>79432823.4724282</v>
      </c>
      <c r="E7" s="12" t="n">
        <f aca="false">D7/10^5</f>
        <v>794.328234724282</v>
      </c>
      <c r="F7" s="7" t="n">
        <v>3000</v>
      </c>
      <c r="G7" s="13" t="str">
        <f aca="false">IF(C7&gt;=8,"Great",IF(C7&gt;=7,"Major",IF(C7&gt;=5,"Moderate","Minor")))</f>
        <v>Major</v>
      </c>
    </row>
    <row r="8" customFormat="false" ht="15" hidden="false" customHeight="false" outlineLevel="0" collapsed="false">
      <c r="A8" s="5" t="n">
        <v>1994</v>
      </c>
      <c r="B8" s="10" t="s">
        <v>19</v>
      </c>
      <c r="C8" s="11" t="n">
        <v>6.7</v>
      </c>
      <c r="D8" s="6" t="n">
        <f aca="false">10^C8</f>
        <v>5011872.33627273</v>
      </c>
      <c r="E8" s="12" t="n">
        <f aca="false">D8/10^5</f>
        <v>50.1187233627273</v>
      </c>
      <c r="F8" s="7" t="n">
        <v>60</v>
      </c>
      <c r="G8" s="13" t="str">
        <f aca="false">IF(C8&gt;=8,"Great",IF(C8&gt;=7,"Major",IF(C8&gt;=5,"Moderate","Minor")))</f>
        <v>Moderate</v>
      </c>
    </row>
    <row r="9" customFormat="false" ht="15" hidden="false" customHeight="false" outlineLevel="0" collapsed="false">
      <c r="A9" s="5" t="n">
        <v>2010</v>
      </c>
      <c r="B9" s="10" t="s">
        <v>20</v>
      </c>
      <c r="C9" s="11" t="n">
        <v>7</v>
      </c>
      <c r="D9" s="6" t="n">
        <f aca="false">10^C9</f>
        <v>10000000</v>
      </c>
      <c r="E9" s="12" t="n">
        <f aca="false">D9/10^5</f>
        <v>100</v>
      </c>
      <c r="F9" s="7" t="n">
        <v>220000</v>
      </c>
      <c r="G9" s="13" t="str">
        <f aca="false">IF(C9&gt;=8,"Great",IF(C9&gt;=7,"Major",IF(C9&gt;=5,"Moderate","Minor")))</f>
        <v>Major</v>
      </c>
    </row>
    <row r="10" customFormat="false" ht="15" hidden="false" customHeight="false" outlineLevel="0" collapsed="false">
      <c r="A10" s="5" t="n">
        <v>1989</v>
      </c>
      <c r="B10" s="10" t="s">
        <v>21</v>
      </c>
      <c r="C10" s="11" t="n">
        <v>6.9</v>
      </c>
      <c r="D10" s="6" t="n">
        <f aca="false">10^C10</f>
        <v>7943282.34724282</v>
      </c>
      <c r="E10" s="12" t="n">
        <f aca="false">D10/10^5</f>
        <v>79.4328234724282</v>
      </c>
      <c r="F10" s="7" t="n">
        <v>63</v>
      </c>
      <c r="G10" s="13" t="str">
        <f aca="false">IF(C10&gt;=8,"Great",IF(C10&gt;=7,"Major",IF(C10&gt;=5,"Moderate","Minor")))</f>
        <v>Moderate</v>
      </c>
    </row>
    <row r="11" customFormat="false" ht="15" hidden="false" customHeight="false" outlineLevel="0" collapsed="false">
      <c r="A11" s="5" t="n">
        <v>2015</v>
      </c>
      <c r="B11" s="10" t="s">
        <v>22</v>
      </c>
      <c r="C11" s="11" t="n">
        <v>7.8</v>
      </c>
      <c r="D11" s="6" t="n">
        <f aca="false">10^C11</f>
        <v>63095734.4480193</v>
      </c>
      <c r="E11" s="12" t="n">
        <f aca="false">D11/10^5</f>
        <v>630.957344480193</v>
      </c>
      <c r="F11" s="7" t="n">
        <v>8964</v>
      </c>
      <c r="G11" s="13" t="str">
        <f aca="false">IF(C11&gt;=8,"Great",IF(C11&gt;=7,"Major",IF(C11&gt;=5,"Moderate","Minor")))</f>
        <v>Major</v>
      </c>
    </row>
    <row r="12" customFormat="false" ht="15" hidden="false" customHeight="false" outlineLevel="0" collapsed="false">
      <c r="A12" s="5" t="n">
        <v>2023</v>
      </c>
      <c r="B12" s="10" t="s">
        <v>23</v>
      </c>
      <c r="C12" s="11" t="n">
        <v>7.8</v>
      </c>
      <c r="D12" s="6" t="n">
        <f aca="false">10^C12</f>
        <v>63095734.4480193</v>
      </c>
      <c r="E12" s="12" t="n">
        <f aca="false">D12/10^5</f>
        <v>630.957344480193</v>
      </c>
      <c r="F12" s="7" t="n">
        <v>59259</v>
      </c>
      <c r="G12" s="13" t="str">
        <f aca="false">IF(C12&gt;=8,"Great",IF(C12&gt;=7,"Major",IF(C12&gt;=5,"Moderate","Minor")))</f>
        <v>Major</v>
      </c>
    </row>
    <row r="13" customFormat="false" ht="15" hidden="false" customHeight="false" outlineLevel="0" collapsed="false">
      <c r="A13" s="5" t="n">
        <v>2020</v>
      </c>
      <c r="B13" s="10" t="s">
        <v>24</v>
      </c>
      <c r="C13" s="11" t="n">
        <v>6.4</v>
      </c>
      <c r="D13" s="6" t="n">
        <f aca="false">10^C13</f>
        <v>2511886.43150958</v>
      </c>
      <c r="E13" s="12" t="n">
        <f aca="false">D13/10^5</f>
        <v>25.1188643150958</v>
      </c>
      <c r="F13" s="7" t="n">
        <v>1</v>
      </c>
      <c r="G13" s="13" t="str">
        <f aca="false">IF(C13&gt;=8,"Great",IF(C13&gt;=7,"Major",IF(C13&gt;=5,"Moderate","Minor")))</f>
        <v>Moderate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8" min="3" style="1" width="14"/>
  </cols>
  <sheetData>
    <row r="1" customFormat="false" ht="25.5" hidden="false" customHeight="true" outlineLevel="0" collapsed="false">
      <c r="A1" s="2" t="s">
        <v>25</v>
      </c>
      <c r="B1" s="2"/>
    </row>
    <row r="2" customFormat="false" ht="18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A4" s="14" t="s">
        <v>27</v>
      </c>
      <c r="B4" s="15" t="n">
        <v>9.5</v>
      </c>
    </row>
    <row r="5" customFormat="false" ht="15" hidden="false" customHeight="false" outlineLevel="0" collapsed="false">
      <c r="A5" s="14" t="s">
        <v>28</v>
      </c>
      <c r="B5" s="15" t="n">
        <v>7</v>
      </c>
    </row>
    <row r="7" customFormat="false" ht="15" hidden="false" customHeight="false" outlineLevel="0" collapsed="false">
      <c r="A7" s="14" t="s">
        <v>29</v>
      </c>
      <c r="B7" s="16" t="n">
        <f aca="false">10^(B4-B5)</f>
        <v>316.227766016838</v>
      </c>
    </row>
    <row r="8" customFormat="false" ht="15" hidden="false" customHeight="false" outlineLevel="0" collapsed="false">
      <c r="A8" s="14" t="s">
        <v>30</v>
      </c>
      <c r="B8" s="17" t="str">
        <f aca="false">IF(B7&gt;1,"Quake 1","Quake 2")</f>
        <v>Quake 1</v>
      </c>
    </row>
    <row r="9" customFormat="false" ht="15" hidden="false" customHeight="false" outlineLevel="0" collapsed="false">
      <c r="A9" s="14" t="s">
        <v>31</v>
      </c>
      <c r="B9" s="18" t="n">
        <f aca="false">10^(1.5*(B4-B5))</f>
        <v>5623.41325190349</v>
      </c>
    </row>
    <row r="10" customFormat="false" ht="15" hidden="false" customHeight="false" outlineLevel="0" collapsed="false">
      <c r="A10" s="14" t="s">
        <v>32</v>
      </c>
      <c r="B10" s="19" t="str">
        <f aca="false">CONCATENATE("Quake 1 is ",TEXT(B7,"#,##0")," × stronger in ground motion, and ",TEXT(B9,"#,##0")," × greater in energy than Quake 2.")</f>
        <v>Quake 1 is 316 × stronger in ground motion, and 5,623 × greater in energy than Quake 2.</v>
      </c>
      <c r="C10" s="19"/>
      <c r="D10" s="19"/>
      <c r="E10" s="19"/>
      <c r="F10" s="19"/>
      <c r="G10" s="19"/>
      <c r="H10" s="19"/>
    </row>
    <row r="11" customFormat="false" ht="15" hidden="false" customHeight="false" outlineLevel="0" collapsed="false">
      <c r="B11" s="19"/>
      <c r="C11" s="19"/>
      <c r="D11" s="19"/>
      <c r="E11" s="19"/>
      <c r="F11" s="19"/>
      <c r="G11" s="19"/>
      <c r="H11" s="19"/>
    </row>
  </sheetData>
  <mergeCells count="3">
    <mergeCell ref="A1:B1"/>
    <mergeCell ref="A2:B2"/>
    <mergeCell ref="B10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</cols>
  <sheetData>
    <row r="1" customFormat="false" ht="25.5" hidden="false" customHeight="true" outlineLevel="0" collapsed="false">
      <c r="A1" s="2" t="s">
        <v>33</v>
      </c>
      <c r="B1" s="2"/>
    </row>
    <row r="2" customFormat="false" ht="18" hidden="false" customHeight="true" outlineLevel="0" collapsed="false">
      <c r="A2" s="3" t="s">
        <v>34</v>
      </c>
      <c r="B2" s="3"/>
    </row>
    <row r="3" customFormat="false" ht="31.5" hidden="false" customHeight="true" outlineLevel="0" collapsed="false">
      <c r="A3" s="4" t="s">
        <v>2</v>
      </c>
      <c r="B3" s="4" t="s">
        <v>35</v>
      </c>
    </row>
    <row r="4" customFormat="false" ht="15" hidden="false" customHeight="false" outlineLevel="0" collapsed="false">
      <c r="A4" s="5" t="n">
        <v>1</v>
      </c>
      <c r="B4" s="6" t="n">
        <f aca="false">10^(1.5*A4)</f>
        <v>31.6227766016838</v>
      </c>
    </row>
    <row r="5" customFormat="false" ht="15" hidden="false" customHeight="false" outlineLevel="0" collapsed="false">
      <c r="A5" s="5" t="n">
        <v>2</v>
      </c>
      <c r="B5" s="6" t="n">
        <f aca="false">10^(1.5*A5)</f>
        <v>1000</v>
      </c>
    </row>
    <row r="6" customFormat="false" ht="15" hidden="false" customHeight="false" outlineLevel="0" collapsed="false">
      <c r="A6" s="5" t="n">
        <v>3</v>
      </c>
      <c r="B6" s="6" t="n">
        <f aca="false">10^(1.5*A6)</f>
        <v>31622.7766016838</v>
      </c>
    </row>
    <row r="7" customFormat="false" ht="15" hidden="false" customHeight="false" outlineLevel="0" collapsed="false">
      <c r="A7" s="5" t="n">
        <v>4</v>
      </c>
      <c r="B7" s="6" t="n">
        <f aca="false">10^(1.5*A7)</f>
        <v>1000000</v>
      </c>
    </row>
    <row r="8" customFormat="false" ht="15" hidden="false" customHeight="false" outlineLevel="0" collapsed="false">
      <c r="A8" s="5" t="n">
        <v>5</v>
      </c>
      <c r="B8" s="6" t="n">
        <f aca="false">10^(1.5*A8)</f>
        <v>31622776.6016838</v>
      </c>
    </row>
    <row r="9" customFormat="false" ht="15" hidden="false" customHeight="false" outlineLevel="0" collapsed="false">
      <c r="A9" s="5" t="n">
        <v>6</v>
      </c>
      <c r="B9" s="6" t="n">
        <f aca="false">10^(1.5*A9)</f>
        <v>1000000000</v>
      </c>
    </row>
    <row r="10" customFormat="false" ht="15" hidden="false" customHeight="false" outlineLevel="0" collapsed="false">
      <c r="A10" s="5" t="n">
        <v>7</v>
      </c>
      <c r="B10" s="6" t="n">
        <f aca="false">10^(1.5*A10)</f>
        <v>31622776601.6838</v>
      </c>
    </row>
    <row r="11" customFormat="false" ht="15" hidden="false" customHeight="false" outlineLevel="0" collapsed="false">
      <c r="A11" s="5" t="n">
        <v>8</v>
      </c>
      <c r="B11" s="6" t="n">
        <f aca="false">10^(1.5*A11)</f>
        <v>1000000000000</v>
      </c>
    </row>
    <row r="12" customFormat="false" ht="15" hidden="false" customHeight="false" outlineLevel="0" collapsed="false">
      <c r="A12" s="5" t="n">
        <v>9</v>
      </c>
      <c r="B12" s="6" t="n">
        <f aca="false">10^(1.5*A12)</f>
        <v>31622776601683.8</v>
      </c>
    </row>
    <row r="13" customFormat="false" ht="15" hidden="false" customHeight="false" outlineLevel="0" collapsed="false">
      <c r="A13" s="5" t="n">
        <v>10</v>
      </c>
      <c r="B13" s="6" t="n">
        <f aca="false">10^(1.5*A13)</f>
        <v>1000000000000000</v>
      </c>
    </row>
    <row r="22" customFormat="false" ht="15" hidden="false" customHeight="false" outlineLevel="0" collapsed="false">
      <c r="D22" s="9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2026-04-21T18:56:48Z</dcterms:created>
  <dc:creator>openpyxl</dc:creator>
  <dc:description/>
  <dc:language>en-US</dc:language>
  <cp:lastModifiedBy/>
  <dcterms:modified xsi:type="dcterms:W3CDTF">2026-04-21T19:02:04Z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