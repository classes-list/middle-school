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Balance" sheetId="1" state="visible" r:id="rId1"/>
    <sheet xmlns:r="http://schemas.openxmlformats.org/officeDocument/2006/relationships" name="Equation Solver" sheetId="2" state="visible" r:id="rId2"/>
    <sheet xmlns:r="http://schemas.openxmlformats.org/officeDocument/2006/relationships" name="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Net Balance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Balance'!D3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Balance'!$A$4:$A$10</f>
            </numRef>
          </cat>
          <val>
            <numRef>
              <f>'Daily Balance'!$D$4:$D$10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 ht="26" customHeight="1">
      <c r="A1" s="1" t="inlineStr">
        <is>
          <t>7-Day Caloric Balance</t>
        </is>
      </c>
    </row>
    <row r="2" ht="18" customHeight="1">
      <c r="A2" s="2" t="inlineStr">
        <is>
          <t>Calories In − Out</t>
        </is>
      </c>
    </row>
    <row r="3" ht="32" customHeight="1">
      <c r="A3" s="3" t="inlineStr">
        <is>
          <t>Day</t>
        </is>
      </c>
      <c r="B3" s="3" t="inlineStr">
        <is>
          <t>Cal Eaten</t>
        </is>
      </c>
      <c r="C3" s="3" t="inlineStr">
        <is>
          <t>Cal Burned</t>
        </is>
      </c>
      <c r="D3" s="3" t="inlineStr">
        <is>
          <t>Net (Δ)</t>
        </is>
      </c>
      <c r="E3" s="3" t="inlineStr">
        <is>
          <t>Status</t>
        </is>
      </c>
    </row>
    <row r="4">
      <c r="A4" s="4" t="inlineStr">
        <is>
          <t>Mon</t>
        </is>
      </c>
      <c r="B4" s="4" t="n">
        <v>2400</v>
      </c>
      <c r="C4" s="4" t="n">
        <v>2100</v>
      </c>
      <c r="D4" s="5">
        <f>B4-C4</f>
        <v/>
      </c>
      <c r="E4" s="5">
        <f>IF(D4&gt;200,"📦 Surplus",IF(D4&lt;-200,"🔻 Deficit","⚖ Balanced"))</f>
        <v/>
      </c>
    </row>
    <row r="5">
      <c r="A5" s="4" t="inlineStr">
        <is>
          <t>Tue</t>
        </is>
      </c>
      <c r="B5" s="4" t="n">
        <v>1900</v>
      </c>
      <c r="C5" s="4" t="n">
        <v>2000</v>
      </c>
      <c r="D5" s="5">
        <f>B5-C5</f>
        <v/>
      </c>
      <c r="E5" s="5">
        <f>IF(D5&gt;200,"📦 Surplus",IF(D5&lt;-200,"🔻 Deficit","⚖ Balanced"))</f>
        <v/>
      </c>
    </row>
    <row r="6">
      <c r="A6" s="4" t="inlineStr">
        <is>
          <t>Wed</t>
        </is>
      </c>
      <c r="B6" s="4" t="n">
        <v>2600</v>
      </c>
      <c r="C6" s="4" t="n">
        <v>2200</v>
      </c>
      <c r="D6" s="5">
        <f>B6-C6</f>
        <v/>
      </c>
      <c r="E6" s="5">
        <f>IF(D6&gt;200,"📦 Surplus",IF(D6&lt;-200,"🔻 Deficit","⚖ Balanced"))</f>
        <v/>
      </c>
    </row>
    <row r="7">
      <c r="A7" s="4" t="inlineStr">
        <is>
          <t>Thu</t>
        </is>
      </c>
      <c r="B7" s="4" t="n">
        <v>2100</v>
      </c>
      <c r="C7" s="4" t="n">
        <v>2250</v>
      </c>
      <c r="D7" s="5">
        <f>B7-C7</f>
        <v/>
      </c>
      <c r="E7" s="5">
        <f>IF(D7&gt;200,"📦 Surplus",IF(D7&lt;-200,"🔻 Deficit","⚖ Balanced"))</f>
        <v/>
      </c>
    </row>
    <row r="8">
      <c r="A8" s="4" t="inlineStr">
        <is>
          <t>Fri</t>
        </is>
      </c>
      <c r="B8" s="4" t="n">
        <v>2800</v>
      </c>
      <c r="C8" s="4" t="n">
        <v>2000</v>
      </c>
      <c r="D8" s="5">
        <f>B8-C8</f>
        <v/>
      </c>
      <c r="E8" s="5">
        <f>IF(D8&gt;200,"📦 Surplus",IF(D8&lt;-200,"🔻 Deficit","⚖ Balanced"))</f>
        <v/>
      </c>
    </row>
    <row r="9">
      <c r="A9" s="4" t="inlineStr">
        <is>
          <t>Sat</t>
        </is>
      </c>
      <c r="B9" s="4" t="n">
        <v>2300</v>
      </c>
      <c r="C9" s="4" t="n">
        <v>1950</v>
      </c>
      <c r="D9" s="5">
        <f>B9-C9</f>
        <v/>
      </c>
      <c r="E9" s="5">
        <f>IF(D9&gt;200,"📦 Surplus",IF(D9&lt;-200,"🔻 Deficit","⚖ Balanced"))</f>
        <v/>
      </c>
    </row>
    <row r="10">
      <c r="A10" s="4" t="inlineStr">
        <is>
          <t>Sun</t>
        </is>
      </c>
      <c r="B10" s="4" t="n">
        <v>2050</v>
      </c>
      <c r="C10" s="4" t="n">
        <v>2300</v>
      </c>
      <c r="D10" s="5">
        <f>B10-C10</f>
        <v/>
      </c>
      <c r="E10" s="5">
        <f>IF(D10&gt;200,"📦 Surplus",IF(D10&lt;-200,"🔻 Deficit","⚖ Balanced"))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 ht="26" customHeight="1">
      <c r="A1" s="1" t="inlineStr">
        <is>
          <t>Solve: Net = In − 1800</t>
        </is>
      </c>
    </row>
    <row r="2" ht="18" customHeight="1">
      <c r="A2" s="2" t="inlineStr">
        <is>
          <t>Target vs. required intake</t>
        </is>
      </c>
    </row>
    <row r="3" ht="32" customHeight="1">
      <c r="A3" s="3" t="inlineStr">
        <is>
          <t>Target Net</t>
        </is>
      </c>
      <c r="B3" s="3" t="inlineStr">
        <is>
          <t>Required Intake</t>
        </is>
      </c>
      <c r="C3" s="3" t="inlineStr">
        <is>
          <t>Verify (In − 1800)</t>
        </is>
      </c>
    </row>
    <row r="4">
      <c r="A4" s="4" t="n">
        <v>0</v>
      </c>
      <c r="B4" s="5">
        <f>A4+1800</f>
        <v/>
      </c>
      <c r="C4" s="5">
        <f>B4-1800</f>
        <v/>
      </c>
    </row>
    <row r="5">
      <c r="A5" s="4" t="n">
        <v>500</v>
      </c>
      <c r="B5" s="5">
        <f>A5+1800</f>
        <v/>
      </c>
      <c r="C5" s="5">
        <f>B5-1800</f>
        <v/>
      </c>
    </row>
    <row r="6">
      <c r="A6" s="4" t="n">
        <v>-500</v>
      </c>
      <c r="B6" s="5">
        <f>A6+1800</f>
        <v/>
      </c>
      <c r="C6" s="5">
        <f>B6-1800</f>
        <v/>
      </c>
    </row>
    <row r="7">
      <c r="A7" s="4" t="n">
        <v>250</v>
      </c>
      <c r="B7" s="5">
        <f>A7+1800</f>
        <v/>
      </c>
      <c r="C7" s="5">
        <f>B7-1800</f>
        <v/>
      </c>
    </row>
    <row r="8">
      <c r="A8" s="4" t="n">
        <v>-250</v>
      </c>
      <c r="B8" s="5">
        <f>A8+1800</f>
        <v/>
      </c>
      <c r="C8" s="5">
        <f>B8-1800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 chart of daily net balance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2026-04-21T19:17:33Z</dcterms:created>
  <dcterms:modified xmlns:dcterms="http://purl.org/dc/terms/" xmlns:xsi="http://www.w3.org/2001/XMLSchema-instance" xsi:type="dcterms:W3CDTF">2026-04-21T19:17:33Z</dcterms:modified>
</cp:coreProperties>
</file>