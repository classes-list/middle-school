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QI_Moni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<sst xmlns="http://schemas.openxmlformats.org/spreadsheetml/2006/main" count="18" uniqueCount="18">
  <si>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AQI Inequality Monitor — Answer Key</t>
  </si>
  <si>
    <t xml:space="preserve">PM2.5 &gt; 35 µg/m³ is unhealthy (EPA)</t>
  </si>
  <si>
    <t xml:space="preserve">Day</t>
  </si>
  <si>
    <t xml:space="preserve">PM2.5 (µg/m³)</t>
  </si>
  <si>
    <t xml:space="preserve">Status</t>
  </si>
  <si>
    <t xml:space="preserve">Distance from 35</t>
  </si>
  <si>
    <t xml:space="preserve">Percent of day</t>
  </si>
  <si>
    <t xml:space="preserve">Unhealthy days</t>
  </si>
  <si>
    <t xml:space="preserve">Mon</t>
  </si>
  <si>
    <t xml:space="preserve">Safe days</t>
  </si>
  <si>
    <t xml:space="preserve">Tue</t>
  </si>
  <si>
    <t xml:space="preserve">% Unhealthy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</si>
  <si>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</si>
  <si>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</si>
  <si>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</si>
  <si>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</si>
  <si>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</si>
  <si>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Inequality: safe is PM2.5 ≤ 35. Unhealthy is PM2.5 &gt; 35. When PM2.5 = 35 exactly, the ≤ convention means it counts as safe (boundary included).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</si>
</sst>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+0;\-0;0"/>
    <numFmt numFmtId="166" formatCode="0.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PM2.5 by day (threshold = 35)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AQI_Monitor!B3</c:f>
              <c:strCache>
                <c:ptCount val="1"/>
                <c:pt idx="0">
                  <c:v>PM2.5 (µg/m³)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AQI_Monitor!$A$4:$A$10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AQI_Monitor!$B$4:$B$10</c:f>
              <c:numCache>
                <c:formatCode>General</c:formatCode>
                <c:ptCount val="7"/>
                <c:pt idx="0">
                  <c:v>15</c:v>
                </c:pt>
                <c:pt idx="1">
                  <c:v>28</c:v>
                </c:pt>
                <c:pt idx="2">
                  <c:v>42</c:v>
                </c:pt>
                <c:pt idx="3">
                  <c:v>55</c:v>
                </c:pt>
                <c:pt idx="4">
                  <c:v>33</c:v>
                </c:pt>
                <c:pt idx="5">
                  <c:v>22</c:v>
                </c:pt>
                <c:pt idx="6">
                  <c:v>18</c:v>
                </c:pt>
              </c:numCache>
            </c:numRef>
          </c:val>
        </c:ser>
        <c:gapWidth val="150"/>
        <c:overlap val="0"/>
        <c:axId val="96646062"/>
        <c:axId val="18828824"/>
      </c:barChart>
      <c:catAx>
        <c:axId val="966460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828824"/>
        <c:crosses val="autoZero"/>
        <c:auto val="1"/>
        <c:lblAlgn val="ctr"/>
        <c:lblOffset val="100"/>
        <c:noMultiLvlLbl val="0"/>
      </c:catAx>
      <c:valAx>
        <c:axId val="18828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PM2.5 µg/m³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6460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19</xdr:col>
      <xdr:colOff>363600</xdr:colOff>
      <xdr:row>21</xdr:row>
      <xdr:rowOff>129600</xdr:rowOff>
    </xdr:to>
    <xdr:graphicFrame>
      <xdr:nvGraphicFramePr>
        <xdr:cNvPr id="1" name="Chart 1"/>
        <xdr:cNvGraphicFramePr/>
      </xdr:nvGraphicFramePr>
      <xdr:xfrm>
        <a:off x="8364960" y="552600"/>
        <a:ext cx="6478560" cy="39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4"/>
    <col collapsed="false" customWidth="true" hidden="false" outlineLevel="0" max="7" min="7" style="1" width="18"/>
    <col collapsed="false" customWidth="true" hidden="false" outlineLevel="0" max="8" min="8" style="1" width="1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G3" s="5" t="s">
        <v>7</v>
      </c>
      <c r="H3" s="6" t="n">
        <f aca="false">COUNTIF(C4:C10,"⚠ Unhealthy")</f>
        <v>2</v>
      </c>
    </row>
    <row r="4" customFormat="false" ht="15" hidden="false" customHeight="false" outlineLevel="0" collapsed="false">
      <c r="A4" s="7" t="s">
        <v>8</v>
      </c>
      <c r="B4" s="7" t="n">
        <v>15</v>
      </c>
      <c r="C4" s="8" t="str">
        <f aca="false">IF(B4&gt;35,"⚠ Unhealthy","✅ Safe")</f>
        <v>✅ Safe</v>
      </c>
      <c r="D4" s="9" t="n">
        <f aca="false">B4-35</f>
        <v>-20</v>
      </c>
      <c r="E4" s="10"/>
      <c r="G4" s="5" t="s">
        <v>9</v>
      </c>
      <c r="H4" s="6" t="n">
        <f aca="false">COUNTIF(C4:C10,"✅ Safe")</f>
        <v>5</v>
      </c>
    </row>
    <row r="5" customFormat="false" ht="15" hidden="false" customHeight="false" outlineLevel="0" collapsed="false">
      <c r="A5" s="7" t="s">
        <v>10</v>
      </c>
      <c r="B5" s="7" t="n">
        <v>28</v>
      </c>
      <c r="C5" s="8" t="str">
        <f aca="false">IF(B5&gt;35,"⚠ Unhealthy","✅ Safe")</f>
        <v>✅ Safe</v>
      </c>
      <c r="D5" s="9" t="n">
        <f aca="false">B5-35</f>
        <v>-7</v>
      </c>
      <c r="E5" s="10"/>
      <c r="G5" s="5" t="s">
        <v>11</v>
      </c>
      <c r="H5" s="11" t="n">
        <f aca="false">H3/7*100</f>
        <v>28.5714285714286</v>
      </c>
    </row>
    <row r="6" customFormat="false" ht="15" hidden="false" customHeight="false" outlineLevel="0" collapsed="false">
      <c r="A6" s="7" t="s">
        <v>12</v>
      </c>
      <c r="B6" s="7" t="n">
        <v>42</v>
      </c>
      <c r="C6" s="8" t="str">
        <f aca="false">IF(B6&gt;35,"⚠ Unhealthy","✅ Safe")</f>
        <v>⚠ Unhealthy</v>
      </c>
      <c r="D6" s="9" t="n">
        <f aca="false">B6-35</f>
        <v>7</v>
      </c>
      <c r="E6" s="10"/>
    </row>
    <row r="7" customFormat="false" ht="15" hidden="false" customHeight="false" outlineLevel="0" collapsed="false">
      <c r="A7" s="7" t="s">
        <v>13</v>
      </c>
      <c r="B7" s="7" t="n">
        <v>55</v>
      </c>
      <c r="C7" s="8" t="str">
        <f aca="false">IF(B7&gt;35,"⚠ Unhealthy","✅ Safe")</f>
        <v>⚠ Unhealthy</v>
      </c>
      <c r="D7" s="9" t="n">
        <f aca="false">B7-35</f>
        <v>20</v>
      </c>
      <c r="E7" s="10"/>
    </row>
    <row r="8" customFormat="false" ht="15" hidden="false" customHeight="false" outlineLevel="0" collapsed="false">
      <c r="A8" s="7" t="s">
        <v>14</v>
      </c>
      <c r="B8" s="7" t="n">
        <v>33</v>
      </c>
      <c r="C8" s="8" t="str">
        <f aca="false">IF(B8&gt;35,"⚠ Unhealthy","✅ Safe")</f>
        <v>✅ Safe</v>
      </c>
      <c r="D8" s="9" t="n">
        <f aca="false">B8-35</f>
        <v>-2</v>
      </c>
      <c r="E8" s="10"/>
    </row>
    <row r="9" customFormat="false" ht="15" hidden="false" customHeight="false" outlineLevel="0" collapsed="false">
      <c r="A9" s="7" t="s">
        <v>15</v>
      </c>
      <c r="B9" s="7" t="n">
        <v>22</v>
      </c>
      <c r="C9" s="8" t="str">
        <f aca="false">IF(B9&gt;35,"⚠ Unhealthy","✅ Safe")</f>
        <v>✅ Safe</v>
      </c>
      <c r="D9" s="9" t="n">
        <f aca="false">B9-35</f>
        <v>-13</v>
      </c>
      <c r="E9" s="10"/>
    </row>
    <row r="10" customFormat="false" ht="15" hidden="false" customHeight="false" outlineLevel="0" collapsed="false">
      <c r="A10" s="7" t="s">
        <v>16</v>
      </c>
      <c r="B10" s="7" t="n">
        <v>18</v>
      </c>
      <c r="C10" s="8" t="str">
        <f aca="false">IF(B10&gt;35,"⚠ Unhealthy","✅ Safe")</f>
        <v>✅ Safe</v>
      </c>
      <c r="D10" s="9" t="n">
        <f aca="false">B10-35</f>
        <v>-17</v>
      </c>
      <c r="E10" s="10"/>
    </row>
    <row r="22" customFormat="false" ht="15" hidden="false" customHeight="false" outlineLevel="0" collapsed="false">
      <c r="J22" s="12" t="s">
        <v>17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2026-04-21T18:52:20Z</dcterms:created>
  <dc:creator>openpyxl</dc:creator>
  <dc:description/>
  <dc:language>en-US</dc:language>
  <cp:lastModifiedBy/>
  <dcterms:modified xsi:type="dcterms:W3CDTF">2026-04-21T19:01:58Z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