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rthquake_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<sst xmlns="http://schemas.openxmlformats.org/spreadsheetml/2006/main" count="20" uniqueCount="20">
  <si>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Earthquake Coordinate Map — Answer Key</t>
  </si>
  <si>
    <t xml:space="preserve">10 recent earthquakes (representative data) plotted on lat/long</t>
  </si>
  <si>
    <t xml:space="preserve">Location</t>
  </si>
  <si>
    <t xml:space="preserve">Longitude (x)</t>
  </si>
  <si>
    <t xml:space="preserve">Latitude (y)</t>
  </si>
  <si>
    <t xml:space="preserve">Magnitude</t>
  </si>
  <si>
    <t xml:space="preserve">Distance from (0,0) =SQRT(x²+y²)</t>
  </si>
  <si>
    <t xml:space="preserve">Category</t>
  </si>
  <si>
    <t xml:space="preserve">Tokyo, Japan</t>
  </si>
  <si>
    <t xml:space="preserve">Kathmandu, Nepal</t>
  </si>
  <si>
    <t xml:space="preserve">Anchorage, Alaska</t>
  </si>
  <si>
    <t xml:space="preserve">Port-au-Prince, Haiti</t>
  </si>
  <si>
    <t xml:space="preserve">San Francisco, CA</t>
  </si>
  <si>
    <t xml:space="preserve">Santiago, Chile</t>
  </si>
  <si>
    <t xml:space="preserve">Wellington, NZ</t>
  </si>
  <si>
    <t xml:space="preserve">Istanbul, Turkey</t>
  </si>
  <si>
    <t xml:space="preserve">Mexico City, Mexico</t>
  </si>
  <si>
    <t xml:space="preserve">Reykjavík, Iceland</t>
  </si>
  <si>
    <t xml:space="preserve">(−122°, 37°) is in Quadrant II (negative x, positive y).</t>
  </si>
  <si>
    <t xml:space="preserve">Distance from (0,0) = SQRT(x²+y²) — how far that lat/long is from the intersection of equator &amp; prime meridian.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</si>
</sst>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B4B4"/>
        </patternFill>
      </fill>
    </dxf>
    <dxf>
      <fill>
        <patternFill>
          <bgColor rgb="FFFFF3CC"/>
        </patternFill>
      </fill>
    </dxf>
    <dxf>
      <fill>
        <patternFill>
          <bgColor rgb="FFD1FA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3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DF"/>
      <rgbColor rgb="FFFFFF99"/>
      <rgbColor rgb="FF99CCFF"/>
      <rgbColor rgb="FFFF99CC"/>
      <rgbColor rgb="FFCC99FF"/>
      <rgbColor rgb="FFF8B4B4"/>
      <rgbColor rgb="FF3366FF"/>
      <rgbColor rgb="FF33CCCC"/>
      <rgbColor rgb="FF98B855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Earthquake Locations (Longitude vs Latitude)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"Quakes"</c:f>
              <c:strCache>
                <c:ptCount val="1"/>
                <c:pt idx="0">
                  <c:v>Quakes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Earthquake_Map!$B$4:$B$13</c:f>
              <c:numCache>
                <c:formatCode>General</c:formatCode>
                <c:ptCount val="10"/>
                <c:pt idx="0">
                  <c:v>139.7</c:v>
                </c:pt>
                <c:pt idx="1">
                  <c:v>85.3</c:v>
                </c:pt>
                <c:pt idx="2">
                  <c:v>-149.9</c:v>
                </c:pt>
                <c:pt idx="3">
                  <c:v>-72.3</c:v>
                </c:pt>
                <c:pt idx="4">
                  <c:v>-122.4</c:v>
                </c:pt>
                <c:pt idx="5">
                  <c:v>-70.7</c:v>
                </c:pt>
                <c:pt idx="6">
                  <c:v>174.8</c:v>
                </c:pt>
                <c:pt idx="7">
                  <c:v>29</c:v>
                </c:pt>
                <c:pt idx="8">
                  <c:v>-99.1</c:v>
                </c:pt>
                <c:pt idx="9">
                  <c:v>-21.9</c:v>
                </c:pt>
              </c:numCache>
            </c:numRef>
          </c:xVal>
          <c:yVal>
            <c:numRef>
              <c:f>Earthquake_Map!$C$4:$C$13</c:f>
              <c:numCache>
                <c:formatCode>General</c:formatCode>
                <c:ptCount val="10"/>
                <c:pt idx="0">
                  <c:v>35.7</c:v>
                </c:pt>
                <c:pt idx="1">
                  <c:v>27.7</c:v>
                </c:pt>
                <c:pt idx="2">
                  <c:v>61.2</c:v>
                </c:pt>
                <c:pt idx="3">
                  <c:v>18.5</c:v>
                </c:pt>
                <c:pt idx="4">
                  <c:v>37.8</c:v>
                </c:pt>
                <c:pt idx="5">
                  <c:v>-33.5</c:v>
                </c:pt>
                <c:pt idx="6">
                  <c:v>-41.3</c:v>
                </c:pt>
                <c:pt idx="7">
                  <c:v>41</c:v>
                </c:pt>
                <c:pt idx="8">
                  <c:v>19.4</c:v>
                </c:pt>
                <c:pt idx="9">
                  <c:v>64.1</c:v>
                </c:pt>
              </c:numCache>
            </c:numRef>
          </c:yVal>
          <c:smooth val="1"/>
        </c:ser>
        <c:axId val="58493536"/>
        <c:axId val="50886985"/>
      </c:scatterChart>
      <c:valAx>
        <c:axId val="584935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886985"/>
        <c:crosses val="autoZero"/>
        <c:crossBetween val="midCat"/>
      </c:valAx>
      <c:valAx>
        <c:axId val="50886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Latitude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49353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822384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" t="s">
        <v>8</v>
      </c>
      <c r="B4" s="6" t="n">
        <v>139.7</v>
      </c>
      <c r="C4" s="6" t="n">
        <v>35.7</v>
      </c>
      <c r="D4" s="7" t="n">
        <v>5.2</v>
      </c>
      <c r="E4" s="8" t="n">
        <f aca="false">SQRT(B4^2+C4^2)</f>
        <v>144.189389346096</v>
      </c>
      <c r="F4" s="9" t="str">
        <f aca="false">IF(D4&gt;=7,"🔴 Major",IF(D4&gt;=5,"🟡 Moderate","🟢 Minor"))</f>
        <v>🟡 Moderate</v>
      </c>
    </row>
    <row r="5" customFormat="false" ht="15" hidden="false" customHeight="false" outlineLevel="0" collapsed="false">
      <c r="A5" s="5" t="s">
        <v>9</v>
      </c>
      <c r="B5" s="6" t="n">
        <v>85.3</v>
      </c>
      <c r="C5" s="6" t="n">
        <v>27.7</v>
      </c>
      <c r="D5" s="7" t="n">
        <v>4.8</v>
      </c>
      <c r="E5" s="8" t="n">
        <f aca="false">SQRT(B5^2+C5^2)</f>
        <v>89.684892819248</v>
      </c>
      <c r="F5" s="9" t="str">
        <f aca="false">IF(D5&gt;=7,"🔴 Major",IF(D5&gt;=5,"🟡 Moderate","🟢 Minor"))</f>
        <v>🟢 Minor</v>
      </c>
    </row>
    <row r="6" customFormat="false" ht="15" hidden="false" customHeight="false" outlineLevel="0" collapsed="false">
      <c r="A6" s="5" t="s">
        <v>10</v>
      </c>
      <c r="B6" s="6" t="n">
        <v>-149.9</v>
      </c>
      <c r="C6" s="6" t="n">
        <v>61.2</v>
      </c>
      <c r="D6" s="7" t="n">
        <v>6.1</v>
      </c>
      <c r="E6" s="8" t="n">
        <f aca="false">SQRT(B6^2+C6^2)</f>
        <v>161.911858738018</v>
      </c>
      <c r="F6" s="9" t="str">
        <f aca="false">IF(D6&gt;=7,"🔴 Major",IF(D6&gt;=5,"🟡 Moderate","🟢 Minor"))</f>
        <v>🟡 Moderate</v>
      </c>
    </row>
    <row r="7" customFormat="false" ht="15" hidden="false" customHeight="false" outlineLevel="0" collapsed="false">
      <c r="A7" s="5" t="s">
        <v>11</v>
      </c>
      <c r="B7" s="6" t="n">
        <v>-72.3</v>
      </c>
      <c r="C7" s="6" t="n">
        <v>18.5</v>
      </c>
      <c r="D7" s="7" t="n">
        <v>5.5</v>
      </c>
      <c r="E7" s="8" t="n">
        <f aca="false">SQRT(B7^2+C7^2)</f>
        <v>74.6293507944428</v>
      </c>
      <c r="F7" s="9" t="str">
        <f aca="false">IF(D7&gt;=7,"🔴 Major",IF(D7&gt;=5,"🟡 Moderate","🟢 Minor"))</f>
        <v>🟡 Moderate</v>
      </c>
    </row>
    <row r="8" customFormat="false" ht="15" hidden="false" customHeight="false" outlineLevel="0" collapsed="false">
      <c r="A8" s="5" t="s">
        <v>12</v>
      </c>
      <c r="B8" s="6" t="n">
        <v>-122.4</v>
      </c>
      <c r="C8" s="6" t="n">
        <v>37.8</v>
      </c>
      <c r="D8" s="7" t="n">
        <v>4.2</v>
      </c>
      <c r="E8" s="8" t="n">
        <f aca="false">SQRT(B8^2+C8^2)</f>
        <v>128.103864110338</v>
      </c>
      <c r="F8" s="9" t="str">
        <f aca="false">IF(D8&gt;=7,"🔴 Major",IF(D8&gt;=5,"🟡 Moderate","🟢 Minor"))</f>
        <v>🟢 Minor</v>
      </c>
    </row>
    <row r="9" customFormat="false" ht="15" hidden="false" customHeight="false" outlineLevel="0" collapsed="false">
      <c r="A9" s="5" t="s">
        <v>13</v>
      </c>
      <c r="B9" s="6" t="n">
        <v>-70.7</v>
      </c>
      <c r="C9" s="6" t="n">
        <v>-33.5</v>
      </c>
      <c r="D9" s="7" t="n">
        <v>7.3</v>
      </c>
      <c r="E9" s="8" t="n">
        <f aca="false">SQRT(B9^2+C9^2)</f>
        <v>78.2351583369012</v>
      </c>
      <c r="F9" s="9" t="str">
        <f aca="false">IF(D9&gt;=7,"🔴 Major",IF(D9&gt;=5,"🟡 Moderate","🟢 Minor"))</f>
        <v>🔴 Major</v>
      </c>
    </row>
    <row r="10" customFormat="false" ht="15" hidden="false" customHeight="false" outlineLevel="0" collapsed="false">
      <c r="A10" s="5" t="s">
        <v>14</v>
      </c>
      <c r="B10" s="6" t="n">
        <v>174.8</v>
      </c>
      <c r="C10" s="6" t="n">
        <v>-41.3</v>
      </c>
      <c r="D10" s="7" t="n">
        <v>5.9</v>
      </c>
      <c r="E10" s="8" t="n">
        <f aca="false">SQRT(B10^2+C10^2)</f>
        <v>179.612722266548</v>
      </c>
      <c r="F10" s="9" t="str">
        <f aca="false">IF(D10&gt;=7,"🔴 Major",IF(D10&gt;=5,"🟡 Moderate","🟢 Minor"))</f>
        <v>🟡 Moderate</v>
      </c>
    </row>
    <row r="11" customFormat="false" ht="15" hidden="false" customHeight="false" outlineLevel="0" collapsed="false">
      <c r="A11" s="5" t="s">
        <v>15</v>
      </c>
      <c r="B11" s="6" t="n">
        <v>29</v>
      </c>
      <c r="C11" s="6" t="n">
        <v>41</v>
      </c>
      <c r="D11" s="7" t="n">
        <v>6.4</v>
      </c>
      <c r="E11" s="8" t="n">
        <f aca="false">SQRT(B11^2+C11^2)</f>
        <v>50.2195181179589</v>
      </c>
      <c r="F11" s="9" t="str">
        <f aca="false">IF(D11&gt;=7,"🔴 Major",IF(D11&gt;=5,"🟡 Moderate","🟢 Minor"))</f>
        <v>🟡 Moderate</v>
      </c>
    </row>
    <row r="12" customFormat="false" ht="15" hidden="false" customHeight="false" outlineLevel="0" collapsed="false">
      <c r="A12" s="5" t="s">
        <v>16</v>
      </c>
      <c r="B12" s="6" t="n">
        <v>-99.1</v>
      </c>
      <c r="C12" s="6" t="n">
        <v>19.4</v>
      </c>
      <c r="D12" s="7" t="n">
        <v>7.1</v>
      </c>
      <c r="E12" s="8" t="n">
        <f aca="false">SQRT(B12^2+C12^2)</f>
        <v>100.98103782394</v>
      </c>
      <c r="F12" s="9" t="str">
        <f aca="false">IF(D12&gt;=7,"🔴 Major",IF(D12&gt;=5,"🟡 Moderate","🟢 Minor"))</f>
        <v>🔴 Major</v>
      </c>
    </row>
    <row r="13" customFormat="false" ht="15" hidden="false" customHeight="false" outlineLevel="0" collapsed="false">
      <c r="A13" s="5" t="s">
        <v>17</v>
      </c>
      <c r="B13" s="6" t="n">
        <v>-21.9</v>
      </c>
      <c r="C13" s="6" t="n">
        <v>64.1</v>
      </c>
      <c r="D13" s="7" t="n">
        <v>4.5</v>
      </c>
      <c r="E13" s="8" t="n">
        <f aca="false">SQRT(B13^2+C13^2)</f>
        <v>67.7378771441798</v>
      </c>
      <c r="F13" s="9" t="str">
        <f aca="false">IF(D13&gt;=7,"🔴 Major",IF(D13&gt;=5,"🟡 Moderate","🟢 Minor"))</f>
        <v>🟢 Minor</v>
      </c>
    </row>
    <row r="22" customFormat="false" ht="15" hidden="false" customHeight="false" outlineLevel="0" collapsed="false">
      <c r="H22" s="10" t="s">
        <v>18</v>
      </c>
    </row>
    <row r="23" customFormat="false" ht="15" hidden="false" customHeight="false" outlineLevel="0" collapsed="false">
      <c r="H23" s="10" t="s">
        <v>19</v>
      </c>
    </row>
  </sheetData>
  <mergeCells count="2">
    <mergeCell ref="A1:F1"/>
    <mergeCell ref="A2:F2"/>
  </mergeCells>
  <conditionalFormatting sqref="D4:D13">
    <cfRule type="cellIs" priority="2" operator="greaterThanOrEqual" aboveAverage="0" equalAverage="0" bottom="0" percent="0" rank="0" text="" dxfId="0">
      <formula>7</formula>
    </cfRule>
    <cfRule type="cellIs" priority="3" operator="between" aboveAverage="0" equalAverage="0" bottom="0" percent="0" rank="0" text="" dxfId="1">
      <formula>5</formula>
      <formula>6.999</formula>
    </cfRule>
    <cfRule type="cellIs" priority="4" operator="lessThan" aboveAverage="0" equalAverage="0" bottom="0" percent="0" rank="0" text="" dxfId="2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2026-04-21T18:52:20Z</dcterms:created>
  <dc:creator>openpyxl</dc:creator>
  <dc:description/>
  <dc:language>en-US</dc:language>
  <cp:lastModifiedBy/>
  <dcterms:modified xsi:type="dcterms:W3CDTF">2026-04-21T19:02:01Z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