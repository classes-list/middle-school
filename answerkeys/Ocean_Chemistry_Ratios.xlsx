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inity_Calc" sheetId="1" state="visible" r:id="rId3"/>
    <sheet name="Ocean_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<sst xmlns="http://schemas.openxmlformats.org/spreadsheetml/2006/main" count="19" uniqueCount="19">
  <si>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Salinity Calculator — Answer Key</t>
  </si>
  <si>
    <t xml:space="preserve">Salt at 3.5% across sample sizes</t>
  </si>
  <si>
    <t xml:space="preserve">Sample Size (g)</t>
  </si>
  <si>
    <t xml:space="preserve">Expected Salt (g) =A×0.035</t>
  </si>
  <si>
    <t xml:space="preserve">Water (g) =A−B</t>
  </si>
  <si>
    <t xml:space="preserve">Water-to-Salt Ratio =C/B</t>
  </si>
  <si>
    <t xml:space="preserve">Unit rate (water : salt) is ≈ 27.57 g water per g salt (identical for every row — proportionality!).</t>
  </si>
  <si>
    <t xml:space="preserve">Ocean Comparison</t>
  </si>
  <si>
    <t xml:space="preserve">Salinity by water body</t>
  </si>
  <si>
    <t xml:space="preserve">Water Body</t>
  </si>
  <si>
    <t xml:space="preserve">Salinity %</t>
  </si>
  <si>
    <t xml:space="preserve">Salt per 1,000 g =B×1000/100</t>
  </si>
  <si>
    <t xml:space="preserve">Ratio to Pacific =C/C$4</t>
  </si>
  <si>
    <t xml:space="preserve">Pacific</t>
  </si>
  <si>
    <t xml:space="preserve">Atlantic</t>
  </si>
  <si>
    <t xml:space="preserve">Mediterranean</t>
  </si>
  <si>
    <t xml:space="preserve">Red Sea</t>
  </si>
  <si>
    <t xml:space="preserve">Dead Sea</t>
  </si>
  <si>
    <t xml:space="preserve">Dead Sea is ~9.4× saltier than the Pacific Ocean (33% ÷ 3.5%).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</si>
</sst>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\%"/>
    <numFmt numFmtId="167" formatCode="0.0"/>
    <numFmt numFmtId="168" formatCode="0.00\×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Salt per 1,000 g — ocean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Ocean_Comparison!C3</c:f>
              <c:strCache>
                <c:ptCount val="1"/>
                <c:pt idx="0">
                  <c:v>Salt per 1,000 g =B×1000/100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Ocean_Comparison!$A$4:$A$8</c:f>
              <c:strCache>
                <c:ptCount val="5"/>
                <c:pt idx="0">
                  <c:v>Pacific</c:v>
                </c:pt>
                <c:pt idx="1">
                  <c:v>Atlantic</c:v>
                </c:pt>
                <c:pt idx="2">
                  <c:v>Mediterranean</c:v>
                </c:pt>
                <c:pt idx="3">
                  <c:v>Red Sea</c:v>
                </c:pt>
                <c:pt idx="4">
                  <c:v>Dead Sea</c:v>
                </c:pt>
              </c:strCache>
            </c:strRef>
          </c:cat>
          <c:val>
            <c:numRef>
              <c:f>Ocean_Comparison!$C$4:$C$8</c:f>
              <c:numCache>
                <c:formatCode>0.0</c:formatCode>
                <c:ptCount val="5"/>
                <c:pt idx="0">
                  <c:v>35</c:v>
                </c:pt>
                <c:pt idx="1">
                  <c:v>36</c:v>
                </c:pt>
                <c:pt idx="2">
                  <c:v>38</c:v>
                </c:pt>
                <c:pt idx="3">
                  <c:v>41</c:v>
                </c:pt>
                <c:pt idx="4">
                  <c:v>330</c:v>
                </c:pt>
              </c:numCache>
            </c:numRef>
          </c:val>
        </c:ser>
        <c:gapWidth val="150"/>
        <c:overlap val="0"/>
        <c:axId val="94655301"/>
        <c:axId val="37304220"/>
      </c:barChart>
      <c:catAx>
        <c:axId val="94655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Water Body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04220"/>
        <c:crosses val="autoZero"/>
        <c:auto val="1"/>
        <c:lblAlgn val="ctr"/>
        <c:lblOffset val="100"/>
        <c:noMultiLvlLbl val="0"/>
      </c:catAx>
      <c:valAx>
        <c:axId val="37304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 salt per 1,000 g water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6553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255600</xdr:colOff>
      <xdr:row>17</xdr:row>
      <xdr:rowOff>172080</xdr:rowOff>
    </xdr:to>
    <xdr:graphicFrame>
      <xdr:nvGraphicFramePr>
        <xdr:cNvPr id="1" name="Chart 1"/>
        <xdr:cNvGraphicFramePr/>
      </xdr:nvGraphicFramePr>
      <xdr:xfrm>
        <a:off x="5968440" y="5526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n">
        <v>100</v>
      </c>
      <c r="B4" s="6" t="n">
        <f aca="false">A4*0.035</f>
        <v>3.5</v>
      </c>
      <c r="C4" s="6" t="n">
        <f aca="false">A4-B4</f>
        <v>96.5</v>
      </c>
      <c r="D4" s="6" t="n">
        <f aca="false">C4/B4</f>
        <v>27.5714285714286</v>
      </c>
    </row>
    <row r="5" customFormat="false" ht="15" hidden="false" customHeight="false" outlineLevel="0" collapsed="false">
      <c r="A5" s="5" t="n">
        <v>250</v>
      </c>
      <c r="B5" s="6" t="n">
        <f aca="false">A5*0.035</f>
        <v>8.75</v>
      </c>
      <c r="C5" s="6" t="n">
        <f aca="false">A5-B5</f>
        <v>241.25</v>
      </c>
      <c r="D5" s="6" t="n">
        <f aca="false">C5/B5</f>
        <v>27.5714285714286</v>
      </c>
    </row>
    <row r="6" customFormat="false" ht="15" hidden="false" customHeight="false" outlineLevel="0" collapsed="false">
      <c r="A6" s="5" t="n">
        <v>500</v>
      </c>
      <c r="B6" s="6" t="n">
        <f aca="false">A6*0.035</f>
        <v>17.5</v>
      </c>
      <c r="C6" s="6" t="n">
        <f aca="false">A6-B6</f>
        <v>482.5</v>
      </c>
      <c r="D6" s="6" t="n">
        <f aca="false">C6/B6</f>
        <v>27.5714285714286</v>
      </c>
    </row>
    <row r="7" customFormat="false" ht="15" hidden="false" customHeight="false" outlineLevel="0" collapsed="false">
      <c r="A7" s="5" t="n">
        <v>750</v>
      </c>
      <c r="B7" s="6" t="n">
        <f aca="false">A7*0.035</f>
        <v>26.25</v>
      </c>
      <c r="C7" s="6" t="n">
        <f aca="false">A7-B7</f>
        <v>723.75</v>
      </c>
      <c r="D7" s="6" t="n">
        <f aca="false">C7/B7</f>
        <v>27.5714285714286</v>
      </c>
    </row>
    <row r="8" customFormat="false" ht="15" hidden="false" customHeight="false" outlineLevel="0" collapsed="false">
      <c r="A8" s="5" t="n">
        <v>1000</v>
      </c>
      <c r="B8" s="6" t="n">
        <f aca="false">A8*0.035</f>
        <v>35</v>
      </c>
      <c r="C8" s="6" t="n">
        <f aca="false">A8-B8</f>
        <v>965</v>
      </c>
      <c r="D8" s="6" t="n">
        <f aca="false">C8/B8</f>
        <v>27.5714285714286</v>
      </c>
    </row>
    <row r="9" customFormat="false" ht="15" hidden="false" customHeight="false" outlineLevel="0" collapsed="false">
      <c r="A9" s="5" t="n">
        <v>1500</v>
      </c>
      <c r="B9" s="6" t="n">
        <f aca="false">A9*0.035</f>
        <v>52.5</v>
      </c>
      <c r="C9" s="6" t="n">
        <f aca="false">A9-B9</f>
        <v>1447.5</v>
      </c>
      <c r="D9" s="6" t="n">
        <f aca="false">C9/B9</f>
        <v>27.5714285714286</v>
      </c>
    </row>
    <row r="10" customFormat="false" ht="15" hidden="false" customHeight="false" outlineLevel="0" collapsed="false">
      <c r="A10" s="5" t="n">
        <v>2000</v>
      </c>
      <c r="B10" s="6" t="n">
        <f aca="false">A10*0.035</f>
        <v>70</v>
      </c>
      <c r="C10" s="6" t="n">
        <f aca="false">A10-B10</f>
        <v>1930</v>
      </c>
      <c r="D10" s="6" t="n">
        <f aca="false">C10/B10</f>
        <v>27.5714285714286</v>
      </c>
    </row>
    <row r="11" customFormat="false" ht="15" hidden="false" customHeight="false" outlineLevel="0" collapsed="false">
      <c r="A11" s="5" t="n">
        <v>2500</v>
      </c>
      <c r="B11" s="6" t="n">
        <f aca="false">A11*0.035</f>
        <v>87.5</v>
      </c>
      <c r="C11" s="6" t="n">
        <f aca="false">A11-B11</f>
        <v>2412.5</v>
      </c>
      <c r="D11" s="6" t="n">
        <f aca="false">C11/B11</f>
        <v>27.5714285714286</v>
      </c>
    </row>
    <row r="12" customFormat="false" ht="15" hidden="false" customHeight="false" outlineLevel="0" collapsed="false">
      <c r="A12" s="5" t="n">
        <v>3000</v>
      </c>
      <c r="B12" s="6" t="n">
        <f aca="false">A12*0.035</f>
        <v>105</v>
      </c>
      <c r="C12" s="6" t="n">
        <f aca="false">A12-B12</f>
        <v>2895</v>
      </c>
      <c r="D12" s="6" t="n">
        <f aca="false">C12/B12</f>
        <v>27.5714285714286</v>
      </c>
    </row>
    <row r="13" customFormat="false" ht="15" hidden="false" customHeight="false" outlineLevel="0" collapsed="false">
      <c r="A13" s="5" t="n">
        <v>5000</v>
      </c>
      <c r="B13" s="6" t="n">
        <f aca="false">A13*0.035</f>
        <v>175</v>
      </c>
      <c r="C13" s="6" t="n">
        <f aca="false">A13-B13</f>
        <v>4825</v>
      </c>
      <c r="D13" s="6" t="n">
        <f aca="false">C13/B13</f>
        <v>27.5714285714286</v>
      </c>
    </row>
    <row r="15" customFormat="false" ht="15" hidden="false" customHeight="false" outlineLevel="0" collapsed="false">
      <c r="A15" s="7" t="s">
        <v>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22"/>
  </cols>
  <sheetData>
    <row r="1" customFormat="false" ht="25.5" hidden="false" customHeight="true" outlineLevel="0" collapsed="false">
      <c r="A1" s="2" t="s">
        <v>7</v>
      </c>
      <c r="B1" s="2"/>
      <c r="C1" s="2"/>
      <c r="D1" s="2"/>
    </row>
    <row r="2" customFormat="false" ht="18" hidden="false" customHeight="true" outlineLevel="0" collapsed="false">
      <c r="A2" s="3" t="s">
        <v>8</v>
      </c>
      <c r="B2" s="3"/>
      <c r="C2" s="3"/>
      <c r="D2" s="3"/>
    </row>
    <row r="3" customFormat="false" ht="31.5" hidden="false" customHeight="true" outlineLevel="0" collapsed="false">
      <c r="A3" s="4" t="s">
        <v>9</v>
      </c>
      <c r="B3" s="4" t="s">
        <v>10</v>
      </c>
      <c r="C3" s="4" t="s">
        <v>11</v>
      </c>
      <c r="D3" s="4" t="s">
        <v>12</v>
      </c>
    </row>
    <row r="4" customFormat="false" ht="15" hidden="false" customHeight="false" outlineLevel="0" collapsed="false">
      <c r="A4" s="8" t="s">
        <v>13</v>
      </c>
      <c r="B4" s="9" t="n">
        <v>3.5</v>
      </c>
      <c r="C4" s="10" t="n">
        <f aca="false">B4*1000/100</f>
        <v>35</v>
      </c>
      <c r="D4" s="11" t="n">
        <f aca="false">C4/C$4</f>
        <v>1</v>
      </c>
    </row>
    <row r="5" customFormat="false" ht="15" hidden="false" customHeight="false" outlineLevel="0" collapsed="false">
      <c r="A5" s="8" t="s">
        <v>14</v>
      </c>
      <c r="B5" s="9" t="n">
        <v>3.6</v>
      </c>
      <c r="C5" s="10" t="n">
        <f aca="false">B5*1000/100</f>
        <v>36</v>
      </c>
      <c r="D5" s="11" t="n">
        <f aca="false">C5/C$4</f>
        <v>1.02857142857143</v>
      </c>
    </row>
    <row r="6" customFormat="false" ht="15" hidden="false" customHeight="false" outlineLevel="0" collapsed="false">
      <c r="A6" s="8" t="s">
        <v>15</v>
      </c>
      <c r="B6" s="9" t="n">
        <v>3.8</v>
      </c>
      <c r="C6" s="10" t="n">
        <f aca="false">B6*1000/100</f>
        <v>38</v>
      </c>
      <c r="D6" s="11" t="n">
        <f aca="false">C6/C$4</f>
        <v>1.08571428571429</v>
      </c>
    </row>
    <row r="7" customFormat="false" ht="15" hidden="false" customHeight="false" outlineLevel="0" collapsed="false">
      <c r="A7" s="8" t="s">
        <v>16</v>
      </c>
      <c r="B7" s="9" t="n">
        <v>4.1</v>
      </c>
      <c r="C7" s="10" t="n">
        <f aca="false">B7*1000/100</f>
        <v>41</v>
      </c>
      <c r="D7" s="11" t="n">
        <f aca="false">C7/C$4</f>
        <v>1.17142857142857</v>
      </c>
    </row>
    <row r="8" customFormat="false" ht="15" hidden="false" customHeight="false" outlineLevel="0" collapsed="false">
      <c r="A8" s="8" t="s">
        <v>17</v>
      </c>
      <c r="B8" s="9" t="n">
        <v>33</v>
      </c>
      <c r="C8" s="10" t="n">
        <f aca="false">B8*1000/100</f>
        <v>330</v>
      </c>
      <c r="D8" s="11" t="n">
        <f aca="false">C8/C$4</f>
        <v>9.42857142857143</v>
      </c>
    </row>
    <row r="20" customFormat="false" ht="15" hidden="false" customHeight="false" outlineLevel="0" collapsed="false">
      <c r="F20" s="12" t="s">
        <v>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2026-04-21T19:02:08Z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