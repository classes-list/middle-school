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ells Law" sheetId="1" state="visible" r:id="rId1"/>
    <sheet xmlns:r="http://schemas.openxmlformats.org/officeDocument/2006/relationships" name="Critical Angle" sheetId="2" state="visible" r:id="rId2"/>
    <sheet xmlns:r="http://schemas.openxmlformats.org/officeDocument/2006/relationships" name="Lens" sheetId="3" state="visible" r:id="rId3"/>
    <sheet xmlns:r="http://schemas.openxmlformats.org/officeDocument/2006/relationships" name="Light Speed" sheetId="4" state="visible" r:id="rId4"/>
    <sheet xmlns:r="http://schemas.openxmlformats.org/officeDocument/2006/relationships" name="Ch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2" fontId="5" fillId="0" borderId="0" pivotButton="0" quotePrefix="0" xfId="0"/>
    <xf numFmtId="0" fontId="5" fillId="0" borderId="0" pivotButton="0" quotePrefix="0" xfId="0"/>
    <xf numFmtId="1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Refraction Angle (Snell)</a:t>
            </a:r>
          </a:p>
        </rich>
      </tx>
    </title>
    <plotArea>
      <scatterChart>
        <ser>
          <idx val="0"/>
          <order val="0"/>
          <tx>
            <v>θ2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'Chart'!$A$4:$A$12</f>
            </numRef>
          </xVal>
          <yVal>
            <numRef>
              <f>'Chart'!$B$4:$B$12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Snell's Law: n1 sin θ1 = n2 sin θ2</t>
        </is>
      </c>
    </row>
    <row r="2" ht="18" customHeight="1">
      <c r="A2" s="2" t="inlineStr">
        <is>
          <t>Air → water/glass/diamond</t>
        </is>
      </c>
    </row>
    <row r="3" ht="32" customHeight="1">
      <c r="A3" s="3" t="inlineStr">
        <is>
          <t>θ1 (°)</t>
        </is>
      </c>
      <c r="B3" s="3" t="inlineStr">
        <is>
          <t>n1 → Water (1.33)</t>
        </is>
      </c>
      <c r="C3" s="3" t="inlineStr">
        <is>
          <t>n1 → Glass (1.52)</t>
        </is>
      </c>
      <c r="D3" s="3" t="inlineStr">
        <is>
          <t>n1 → Diamond (2.42)</t>
        </is>
      </c>
    </row>
    <row r="4">
      <c r="A4" s="4" t="n">
        <v>0</v>
      </c>
      <c r="B4" s="5">
        <f>DEGREES(ASIN(SIN(RADIANS(A4))/1.33))</f>
        <v/>
      </c>
      <c r="C4" s="5">
        <f>DEGREES(ASIN(SIN(RADIANS(A4))/1.52))</f>
        <v/>
      </c>
      <c r="D4" s="5">
        <f>DEGREES(ASIN(SIN(RADIANS(A4))/2.42))</f>
        <v/>
      </c>
    </row>
    <row r="5">
      <c r="A5" s="4" t="n">
        <v>10</v>
      </c>
      <c r="B5" s="5">
        <f>DEGREES(ASIN(SIN(RADIANS(A5))/1.33))</f>
        <v/>
      </c>
      <c r="C5" s="5">
        <f>DEGREES(ASIN(SIN(RADIANS(A5))/1.52))</f>
        <v/>
      </c>
      <c r="D5" s="5">
        <f>DEGREES(ASIN(SIN(RADIANS(A5))/2.42))</f>
        <v/>
      </c>
    </row>
    <row r="6">
      <c r="A6" s="4" t="n">
        <v>20</v>
      </c>
      <c r="B6" s="5">
        <f>DEGREES(ASIN(SIN(RADIANS(A6))/1.33))</f>
        <v/>
      </c>
      <c r="C6" s="5">
        <f>DEGREES(ASIN(SIN(RADIANS(A6))/1.52))</f>
        <v/>
      </c>
      <c r="D6" s="5">
        <f>DEGREES(ASIN(SIN(RADIANS(A6))/2.42))</f>
        <v/>
      </c>
    </row>
    <row r="7">
      <c r="A7" s="4" t="n">
        <v>30</v>
      </c>
      <c r="B7" s="5">
        <f>DEGREES(ASIN(SIN(RADIANS(A7))/1.33))</f>
        <v/>
      </c>
      <c r="C7" s="5">
        <f>DEGREES(ASIN(SIN(RADIANS(A7))/1.52))</f>
        <v/>
      </c>
      <c r="D7" s="5">
        <f>DEGREES(ASIN(SIN(RADIANS(A7))/2.42))</f>
        <v/>
      </c>
    </row>
    <row r="8">
      <c r="A8" s="4" t="n">
        <v>40</v>
      </c>
      <c r="B8" s="5">
        <f>DEGREES(ASIN(SIN(RADIANS(A8))/1.33))</f>
        <v/>
      </c>
      <c r="C8" s="5">
        <f>DEGREES(ASIN(SIN(RADIANS(A8))/1.52))</f>
        <v/>
      </c>
      <c r="D8" s="5">
        <f>DEGREES(ASIN(SIN(RADIANS(A8))/2.42))</f>
        <v/>
      </c>
    </row>
    <row r="9">
      <c r="A9" s="4" t="n">
        <v>50</v>
      </c>
      <c r="B9" s="5">
        <f>DEGREES(ASIN(SIN(RADIANS(A9))/1.33))</f>
        <v/>
      </c>
      <c r="C9" s="5">
        <f>DEGREES(ASIN(SIN(RADIANS(A9))/1.52))</f>
        <v/>
      </c>
      <c r="D9" s="5">
        <f>DEGREES(ASIN(SIN(RADIANS(A9))/2.42))</f>
        <v/>
      </c>
    </row>
    <row r="10">
      <c r="A10" s="4" t="n">
        <v>60</v>
      </c>
      <c r="B10" s="5">
        <f>DEGREES(ASIN(SIN(RADIANS(A10))/1.33))</f>
        <v/>
      </c>
      <c r="C10" s="5">
        <f>DEGREES(ASIN(SIN(RADIANS(A10))/1.52))</f>
        <v/>
      </c>
      <c r="D10" s="5">
        <f>DEGREES(ASIN(SIN(RADIANS(A10))/2.42))</f>
        <v/>
      </c>
    </row>
    <row r="11">
      <c r="A11" s="4" t="n">
        <v>70</v>
      </c>
      <c r="B11" s="5">
        <f>DEGREES(ASIN(SIN(RADIANS(A11))/1.33))</f>
        <v/>
      </c>
      <c r="C11" s="5">
        <f>DEGREES(ASIN(SIN(RADIANS(A11))/1.52))</f>
        <v/>
      </c>
      <c r="D11" s="5">
        <f>DEGREES(ASIN(SIN(RADIANS(A11))/2.42))</f>
        <v/>
      </c>
    </row>
    <row r="12">
      <c r="A12" s="4" t="n">
        <v>80</v>
      </c>
      <c r="B12" s="5">
        <f>DEGREES(ASIN(SIN(RADIANS(A12))/1.33))</f>
        <v/>
      </c>
      <c r="C12" s="5">
        <f>DEGREES(ASIN(SIN(RADIANS(A12))/1.52))</f>
        <v/>
      </c>
      <c r="D12" s="5">
        <f>DEGREES(ASIN(SIN(RADIANS(A12))/2.42))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Critical Angle: sin θc = n2/n1 (into air)</t>
        </is>
      </c>
    </row>
    <row r="2" ht="18" customHeight="1">
      <c r="A2" s="2" t="inlineStr">
        <is>
          <t>TIR boundary</t>
        </is>
      </c>
    </row>
    <row r="3" ht="32" customHeight="1">
      <c r="A3" s="3" t="inlineStr">
        <is>
          <t>Material</t>
        </is>
      </c>
      <c r="B3" s="3" t="inlineStr">
        <is>
          <t>n1</t>
        </is>
      </c>
      <c r="C3" s="3" t="inlineStr">
        <is>
          <t>θc (°)</t>
        </is>
      </c>
    </row>
    <row r="4">
      <c r="A4" s="4" t="inlineStr">
        <is>
          <t>Water → air</t>
        </is>
      </c>
      <c r="B4" s="4" t="n">
        <v>1.33</v>
      </c>
      <c r="C4" s="5">
        <f>DEGREES(ASIN(1/B4))</f>
        <v/>
      </c>
    </row>
    <row r="5">
      <c r="A5" s="4" t="inlineStr">
        <is>
          <t>Glass → air</t>
        </is>
      </c>
      <c r="B5" s="4" t="n">
        <v>1.52</v>
      </c>
      <c r="C5" s="5">
        <f>DEGREES(ASIN(1/B5))</f>
        <v/>
      </c>
    </row>
    <row r="6">
      <c r="A6" s="4" t="inlineStr">
        <is>
          <t>Diamond → air</t>
        </is>
      </c>
      <c r="B6" s="4" t="n">
        <v>2.42</v>
      </c>
      <c r="C6" s="5">
        <f>DEGREES(ASIN(1/B6))</f>
        <v/>
      </c>
    </row>
    <row r="7">
      <c r="A7" s="4" t="inlineStr">
        <is>
          <t>Fiber core → cladding 1.46</t>
        </is>
      </c>
      <c r="B7" s="4" t="n">
        <v>1.5</v>
      </c>
      <c r="C7" s="5">
        <f>DEGREES(ASIN(1.46/B7))</f>
        <v/>
      </c>
    </row>
    <row r="8">
      <c r="A8" s="4" t="inlineStr">
        <is>
          <t>Ice → air</t>
        </is>
      </c>
      <c r="B8" s="4" t="n">
        <v>1.31</v>
      </c>
      <c r="C8" s="5">
        <f>DEGREES(ASIN(1/B8))</f>
        <v/>
      </c>
    </row>
    <row r="9">
      <c r="A9" s="4" t="inlineStr">
        <is>
          <t>Quartz → air</t>
        </is>
      </c>
      <c r="B9" s="4" t="n">
        <v>1.54</v>
      </c>
      <c r="C9" s="5">
        <f>DEGREES(ASIN(1/B9))</f>
        <v/>
      </c>
    </row>
    <row r="10">
      <c r="A10" s="4" t="inlineStr">
        <is>
          <t>Plexiglas → air</t>
        </is>
      </c>
      <c r="B10" s="4" t="n">
        <v>1.49</v>
      </c>
      <c r="C10" s="5">
        <f>DEGREES(ASIN(1/B10))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Thin Lens: 1/f = 1/do + 1/di</t>
        </is>
      </c>
    </row>
    <row r="2" ht="18" customHeight="1">
      <c r="A2" s="2" t="inlineStr">
        <is>
          <t>Positive f = converging</t>
        </is>
      </c>
    </row>
    <row r="3" ht="32" customHeight="1">
      <c r="A3" s="3" t="inlineStr">
        <is>
          <t>f (cm)</t>
        </is>
      </c>
      <c r="B3" s="3" t="inlineStr">
        <is>
          <t>do (cm)</t>
        </is>
      </c>
      <c r="C3" s="3" t="inlineStr">
        <is>
          <t>di (cm)</t>
        </is>
      </c>
      <c r="D3" s="3" t="inlineStr">
        <is>
          <t>Magnification</t>
        </is>
      </c>
      <c r="E3" s="3" t="inlineStr">
        <is>
          <t>Type</t>
        </is>
      </c>
    </row>
    <row r="4">
      <c r="A4" s="4" t="n">
        <v>10</v>
      </c>
      <c r="B4" s="4" t="n">
        <v>30</v>
      </c>
      <c r="C4" s="5">
        <f>1/(1/A4-1/B4)</f>
        <v/>
      </c>
      <c r="D4" s="5">
        <f>-C4/B4</f>
        <v/>
      </c>
      <c r="E4" s="6">
        <f>IF(D4&lt;-1,"Enlarged inv",IF(D4&lt;0,"Reduced inv","Virtual"))</f>
        <v/>
      </c>
    </row>
    <row r="5">
      <c r="A5" s="4" t="n">
        <v>10</v>
      </c>
      <c r="B5" s="4" t="n">
        <v>20</v>
      </c>
      <c r="C5" s="5">
        <f>1/(1/A5-1/B5)</f>
        <v/>
      </c>
      <c r="D5" s="5">
        <f>-C5/B5</f>
        <v/>
      </c>
      <c r="E5" s="6">
        <f>IF(D5&lt;-1,"Enlarged inv",IF(D5&lt;0,"Reduced inv","Virtual"))</f>
        <v/>
      </c>
    </row>
    <row r="6">
      <c r="A6" s="4" t="n">
        <v>10</v>
      </c>
      <c r="B6" s="4" t="n">
        <v>15</v>
      </c>
      <c r="C6" s="5">
        <f>1/(1/A6-1/B6)</f>
        <v/>
      </c>
      <c r="D6" s="5">
        <f>-C6/B6</f>
        <v/>
      </c>
      <c r="E6" s="6">
        <f>IF(D6&lt;-1,"Enlarged inv",IF(D6&lt;0,"Reduced inv","Virtual"))</f>
        <v/>
      </c>
    </row>
    <row r="7">
      <c r="A7" s="4" t="n">
        <v>10</v>
      </c>
      <c r="B7" s="4" t="n">
        <v>12</v>
      </c>
      <c r="C7" s="5">
        <f>1/(1/A7-1/B7)</f>
        <v/>
      </c>
      <c r="D7" s="5">
        <f>-C7/B7</f>
        <v/>
      </c>
      <c r="E7" s="6">
        <f>IF(D7&lt;-1,"Enlarged inv",IF(D7&lt;0,"Reduced inv","Virtual"))</f>
        <v/>
      </c>
    </row>
    <row r="8">
      <c r="A8" s="4" t="n">
        <v>20</v>
      </c>
      <c r="B8" s="4" t="n">
        <v>50</v>
      </c>
      <c r="C8" s="5">
        <f>1/(1/A8-1/B8)</f>
        <v/>
      </c>
      <c r="D8" s="5">
        <f>-C8/B8</f>
        <v/>
      </c>
      <c r="E8" s="6">
        <f>IF(D8&lt;-1,"Enlarged inv",IF(D8&lt;0,"Reduced inv","Virtual"))</f>
        <v/>
      </c>
    </row>
    <row r="9">
      <c r="A9" s="4" t="n">
        <v>5</v>
      </c>
      <c r="B9" s="4" t="n">
        <v>10</v>
      </c>
      <c r="C9" s="5">
        <f>1/(1/A9-1/B9)</f>
        <v/>
      </c>
      <c r="D9" s="5">
        <f>-C9/B9</f>
        <v/>
      </c>
      <c r="E9" s="6">
        <f>IF(D9&lt;-1,"Enlarged inv",IF(D9&lt;0,"Reduced inv","Virtual"))</f>
        <v/>
      </c>
    </row>
    <row r="10">
      <c r="A10" s="4" t="n">
        <v>15</v>
      </c>
      <c r="B10" s="4" t="n">
        <v>45</v>
      </c>
      <c r="C10" s="5">
        <f>1/(1/A10-1/B10)</f>
        <v/>
      </c>
      <c r="D10" s="5">
        <f>-C10/B10</f>
        <v/>
      </c>
      <c r="E10" s="6">
        <f>IF(D10&lt;-1,"Enlarged inv",IF(D10&lt;0,"Reduced inv","Virtual"))</f>
        <v/>
      </c>
    </row>
    <row r="11">
      <c r="A11" s="4" t="n">
        <v>8</v>
      </c>
      <c r="B11" s="4" t="n">
        <v>24</v>
      </c>
      <c r="C11" s="5">
        <f>1/(1/A11-1/B11)</f>
        <v/>
      </c>
      <c r="D11" s="5">
        <f>-C11/B11</f>
        <v/>
      </c>
      <c r="E11" s="6">
        <f>IF(D11&lt;-1,"Enlarged inv",IF(D11&lt;0,"Reduced inv","Virtual"))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v = c/n — speed of light in medium</t>
        </is>
      </c>
    </row>
    <row r="2" ht="18" customHeight="1">
      <c r="A2" s="2" t="inlineStr">
        <is>
          <t>c = 3e8 m/s</t>
        </is>
      </c>
    </row>
    <row r="3" ht="32" customHeight="1">
      <c r="A3" s="3" t="inlineStr">
        <is>
          <t>Medium</t>
        </is>
      </c>
      <c r="B3" s="3" t="inlineStr">
        <is>
          <t>n</t>
        </is>
      </c>
      <c r="C3" s="3" t="inlineStr">
        <is>
          <t>v (m/s)</t>
        </is>
      </c>
    </row>
    <row r="4">
      <c r="A4" s="4" t="inlineStr">
        <is>
          <t>Vacuum</t>
        </is>
      </c>
      <c r="B4" s="4" t="n">
        <v>1</v>
      </c>
      <c r="C4" s="7">
        <f>3E8/B4</f>
        <v/>
      </c>
    </row>
    <row r="5">
      <c r="A5" s="4" t="inlineStr">
        <is>
          <t>Air</t>
        </is>
      </c>
      <c r="B5" s="4" t="n">
        <v>1.0003</v>
      </c>
      <c r="C5" s="7">
        <f>3E8/B5</f>
        <v/>
      </c>
    </row>
    <row r="6">
      <c r="A6" s="4" t="inlineStr">
        <is>
          <t>Water</t>
        </is>
      </c>
      <c r="B6" s="4" t="n">
        <v>1.33</v>
      </c>
      <c r="C6" s="7">
        <f>3E8/B6</f>
        <v/>
      </c>
    </row>
    <row r="7">
      <c r="A7" s="4" t="inlineStr">
        <is>
          <t>Glass</t>
        </is>
      </c>
      <c r="B7" s="4" t="n">
        <v>1.52</v>
      </c>
      <c r="C7" s="7">
        <f>3E8/B7</f>
        <v/>
      </c>
    </row>
    <row r="8">
      <c r="A8" s="4" t="inlineStr">
        <is>
          <t>Diamond</t>
        </is>
      </c>
      <c r="B8" s="4" t="n">
        <v>2.42</v>
      </c>
      <c r="C8" s="7">
        <f>3E8/B8</f>
        <v/>
      </c>
    </row>
    <row r="9">
      <c r="A9" s="4" t="inlineStr">
        <is>
          <t>Ice</t>
        </is>
      </c>
      <c r="B9" s="4" t="n">
        <v>1.31</v>
      </c>
      <c r="C9" s="7">
        <f>3E8/B9</f>
        <v/>
      </c>
    </row>
    <row r="10">
      <c r="A10" s="4" t="inlineStr">
        <is>
          <t>Quartz</t>
        </is>
      </c>
      <c r="B10" s="4" t="n">
        <v>1.54</v>
      </c>
      <c r="C10" s="7">
        <f>3E8/B10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Refraction into Water (n=1.33)</t>
        </is>
      </c>
    </row>
    <row r="2" ht="18" customHeight="1">
      <c r="A2" s="2" t="inlineStr">
        <is>
          <t>Angle relationship</t>
        </is>
      </c>
    </row>
    <row r="3" ht="32" customHeight="1">
      <c r="A3" s="3" t="inlineStr">
        <is>
          <t>θ1 (°)</t>
        </is>
      </c>
      <c r="B3" s="3" t="inlineStr">
        <is>
          <t>θ2 (°)</t>
        </is>
      </c>
    </row>
    <row r="4">
      <c r="A4" s="4" t="n">
        <v>0</v>
      </c>
      <c r="B4" s="5">
        <f>DEGREES(ASIN(SIN(RADIANS(A4))/1.33))</f>
        <v/>
      </c>
    </row>
    <row r="5">
      <c r="A5" s="4" t="n">
        <v>10</v>
      </c>
      <c r="B5" s="5">
        <f>DEGREES(ASIN(SIN(RADIANS(A5))/1.33))</f>
        <v/>
      </c>
    </row>
    <row r="6">
      <c r="A6" s="4" t="n">
        <v>20</v>
      </c>
      <c r="B6" s="5">
        <f>DEGREES(ASIN(SIN(RADIANS(A6))/1.33))</f>
        <v/>
      </c>
    </row>
    <row r="7">
      <c r="A7" s="4" t="n">
        <v>30</v>
      </c>
      <c r="B7" s="5">
        <f>DEGREES(ASIN(SIN(RADIANS(A7))/1.33))</f>
        <v/>
      </c>
    </row>
    <row r="8">
      <c r="A8" s="4" t="n">
        <v>40</v>
      </c>
      <c r="B8" s="5">
        <f>DEGREES(ASIN(SIN(RADIANS(A8))/1.33))</f>
        <v/>
      </c>
    </row>
    <row r="9">
      <c r="A9" s="4" t="n">
        <v>50</v>
      </c>
      <c r="B9" s="5">
        <f>DEGREES(ASIN(SIN(RADIANS(A9))/1.33))</f>
        <v/>
      </c>
    </row>
    <row r="10">
      <c r="A10" s="4" t="n">
        <v>60</v>
      </c>
      <c r="B10" s="5">
        <f>DEGREES(ASIN(SIN(RADIANS(A10))/1.33))</f>
        <v/>
      </c>
    </row>
    <row r="11">
      <c r="A11" s="4" t="n">
        <v>70</v>
      </c>
      <c r="B11" s="5">
        <f>DEGREES(ASIN(SIN(RADIANS(A11))/1.33))</f>
        <v/>
      </c>
    </row>
    <row r="12">
      <c r="A12" s="4" t="n">
        <v>80</v>
      </c>
      <c r="B12" s="5">
        <f>DEGREES(ASIN(SIN(RADIANS(A12))/1.33))</f>
        <v/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2026-04-21T19:29:38Z</dcterms:created>
  <dcterms:modified xmlns:dcterms="http://purl.org/dc/terms/" xmlns:xsi="http://www.w3.org/2001/XMLSchema-instance" xsi:type="dcterms:W3CDTF">2026-04-21T19:29:38Z</dcterms:modified>
</cp:coreProperties>
</file>