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vs. Projected Population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'Species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 Tracker'!$A$4:$A$11</f>
            </numRef>
          </cat>
          <val>
            <numRef>
              <f>'Species Tracker'!$C$4:$C$11</f>
            </numRef>
          </val>
        </ser>
        <ser>
          <idx val="1"/>
          <order val="1"/>
          <tx>
            <strRef>
              <f>'Species Tracker'!E3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 Tracker'!$A$4:$A$11</f>
            </numRef>
          </cat>
          <val>
            <numRef>
              <f>'Species Tracker'!$E$4:$E$11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 ht="26" customHeight="1">
      <c r="A1" s="1" t="inlineStr">
        <is>
          <t>Hawaii Endangered Species Tracker</t>
        </is>
      </c>
    </row>
    <row r="2" ht="18" customHeight="1">
      <c r="A2" s="2" t="inlineStr">
        <is>
          <t>Percent change and 10-year projection</t>
        </is>
      </c>
    </row>
    <row r="3" ht="32" customHeight="1">
      <c r="A3" s="3" t="inlineStr">
        <is>
          <t>Species</t>
        </is>
      </c>
      <c r="B3" s="3" t="inlineStr">
        <is>
          <t>Past Pop.</t>
        </is>
      </c>
      <c r="C3" s="3" t="inlineStr">
        <is>
          <t>Current Pop.</t>
        </is>
      </c>
      <c r="D3" s="3" t="inlineStr">
        <is>
          <t>% Change</t>
        </is>
      </c>
      <c r="E3" s="3" t="inlineStr">
        <is>
          <t>10-yr Projection</t>
        </is>
      </c>
      <c r="F3" s="3" t="inlineStr">
        <is>
          <t>Status</t>
        </is>
      </c>
    </row>
    <row r="4">
      <c r="A4" s="4" t="inlineStr">
        <is>
          <t>Hawaiian Monk Seal</t>
        </is>
      </c>
      <c r="B4" s="4" t="n">
        <v>1500</v>
      </c>
      <c r="C4" s="4" t="n">
        <v>1400</v>
      </c>
      <c r="D4" s="5">
        <f>(C4-B4)/B4*100</f>
        <v/>
      </c>
      <c r="E4" s="6">
        <f>C4*(1+D4/100/2)</f>
        <v/>
      </c>
      <c r="F4" s="7">
        <f>IF(D4&gt;0,"📈 Growing",IF(D4&lt;-20,"🚨 Critical","📉 Declining"))</f>
        <v/>
      </c>
    </row>
    <row r="5">
      <c r="A5" s="4" t="inlineStr">
        <is>
          <t>Nene Goose</t>
        </is>
      </c>
      <c r="B5" s="4" t="n">
        <v>350</v>
      </c>
      <c r="C5" s="4" t="n">
        <v>3000</v>
      </c>
      <c r="D5" s="5">
        <f>(C5-B5)/B5*100</f>
        <v/>
      </c>
      <c r="E5" s="6">
        <f>C5*(1+D5/100/2)</f>
        <v/>
      </c>
      <c r="F5" s="7">
        <f>IF(D5&gt;0,"📈 Growing",IF(D5&lt;-20,"🚨 Critical","📉 Declining"))</f>
        <v/>
      </c>
    </row>
    <row r="6">
      <c r="A6" s="4" t="inlineStr">
        <is>
          <t>Kiwikiu</t>
        </is>
      </c>
      <c r="B6" s="4" t="n">
        <v>500</v>
      </c>
      <c r="C6" s="4" t="n">
        <v>150</v>
      </c>
      <c r="D6" s="5">
        <f>(C6-B6)/B6*100</f>
        <v/>
      </c>
      <c r="E6" s="6">
        <f>C6*(1+D6/100/2)</f>
        <v/>
      </c>
      <c r="F6" s="7">
        <f>IF(D6&gt;0,"📈 Growing",IF(D6&lt;-20,"🚨 Critical","📉 Declining"))</f>
        <v/>
      </c>
    </row>
    <row r="7">
      <c r="A7" s="4" t="inlineStr">
        <is>
          <t>Hawaiian Hoary Bat</t>
        </is>
      </c>
      <c r="B7" s="4" t="n">
        <v>4500</v>
      </c>
      <c r="C7" s="4" t="n">
        <v>1000</v>
      </c>
      <c r="D7" s="5">
        <f>(C7-B7)/B7*100</f>
        <v/>
      </c>
      <c r="E7" s="6">
        <f>C7*(1+D7/100/2)</f>
        <v/>
      </c>
      <c r="F7" s="7">
        <f>IF(D7&gt;0,"📈 Growing",IF(D7&lt;-20,"🚨 Critical","📉 Declining"))</f>
        <v/>
      </c>
    </row>
    <row r="8">
      <c r="A8" s="4" t="inlineStr">
        <is>
          <t>Hawaiian Hawk</t>
        </is>
      </c>
      <c r="B8" s="4" t="n">
        <v>1500</v>
      </c>
      <c r="C8" s="4" t="n">
        <v>2700</v>
      </c>
      <c r="D8" s="5">
        <f>(C8-B8)/B8*100</f>
        <v/>
      </c>
      <c r="E8" s="6">
        <f>C8*(1+D8/100/2)</f>
        <v/>
      </c>
      <c r="F8" s="7">
        <f>IF(D8&gt;0,"📈 Growing",IF(D8&lt;-20,"🚨 Critical","📉 Declining"))</f>
        <v/>
      </c>
    </row>
    <row r="9">
      <c r="A9" s="4" t="inlineStr">
        <is>
          <t>Iiwi</t>
        </is>
      </c>
      <c r="B9" s="4" t="n">
        <v>250000</v>
      </c>
      <c r="C9" s="4" t="n">
        <v>350000</v>
      </c>
      <c r="D9" s="5">
        <f>(C9-B9)/B9*100</f>
        <v/>
      </c>
      <c r="E9" s="6">
        <f>C9*(1+D9/100/2)</f>
        <v/>
      </c>
      <c r="F9" s="7">
        <f>IF(D9&gt;0,"📈 Growing",IF(D9&lt;-20,"🚨 Critical","📉 Declining"))</f>
        <v/>
      </c>
    </row>
    <row r="10">
      <c r="A10" s="4" t="inlineStr">
        <is>
          <t>Puaiohi</t>
        </is>
      </c>
      <c r="B10" s="4" t="n">
        <v>300</v>
      </c>
      <c r="C10" s="4" t="n">
        <v>500</v>
      </c>
      <c r="D10" s="5">
        <f>(C10-B10)/B10*100</f>
        <v/>
      </c>
      <c r="E10" s="6">
        <f>C10*(1+D10/100/2)</f>
        <v/>
      </c>
      <c r="F10" s="7">
        <f>IF(D10&gt;0,"📈 Growing",IF(D10&lt;-20,"🚨 Critical","📉 Declining"))</f>
        <v/>
      </c>
    </row>
    <row r="11">
      <c r="A11" s="4" t="inlineStr">
        <is>
          <t>Palila</t>
        </is>
      </c>
      <c r="B11" s="4" t="n">
        <v>6500</v>
      </c>
      <c r="C11" s="4" t="n">
        <v>1000</v>
      </c>
      <c r="D11" s="5">
        <f>(C11-B11)/B11*100</f>
        <v/>
      </c>
      <c r="E11" s="6">
        <f>C11*(1+D11/100/2)</f>
        <v/>
      </c>
      <c r="F11" s="7">
        <f>IF(D11&gt;0,"📈 Growing",IF(D11&lt;-20,"🚨 Critical","📉 Declining"))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