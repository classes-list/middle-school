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-Time" sheetId="1" state="visible" r:id="rId1"/>
    <sheet xmlns:r="http://schemas.openxmlformats.org/officeDocument/2006/relationships" name="Bus Rou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pivotButton="0" quotePrefix="0" xfId="0"/>
    <xf numFmtId="2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Position vs. Time</a:t>
            </a:r>
          </a:p>
        </rich>
      </tx>
    </title>
    <plotArea>
      <lineChart>
        <grouping val="standard"/>
        <ser>
          <idx val="0"/>
          <order val="0"/>
          <tx>
            <strRef>
              <f>'Position-Time'!B3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'Position-Time'!$A$4:$A$14</f>
            </numRef>
          </cat>
          <val>
            <numRef>
              <f>'Position-Time'!$B$4:$B$14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Speed vs. Time</a:t>
            </a:r>
          </a:p>
        </rich>
      </tx>
    </title>
    <plotArea>
      <lineChart>
        <grouping val="standard"/>
        <ser>
          <idx val="0"/>
          <order val="0"/>
          <tx>
            <strRef>
              <f>'Position-Time'!C3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'Position-Time'!$A$4:$A$14</f>
            </numRef>
          </cat>
          <val>
            <numRef>
              <f>'Position-Time'!$C$4:$C$14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21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Vehicle Motion Analysis</t>
        </is>
      </c>
    </row>
    <row r="2" ht="18" customHeight="1">
      <c r="A2" s="2" t="inlineStr">
        <is>
          <t>Speed = Δposition / Δtime</t>
        </is>
      </c>
    </row>
    <row r="3" ht="32" customHeight="1">
      <c r="A3" s="3" t="inlineStr">
        <is>
          <t>Time (s)</t>
        </is>
      </c>
      <c r="B3" s="3" t="inlineStr">
        <is>
          <t>Position (m)</t>
        </is>
      </c>
      <c r="C3" s="3" t="inlineStr">
        <is>
          <t>Speed (m/s)</t>
        </is>
      </c>
      <c r="D3" s="3" t="inlineStr">
        <is>
          <t>Motion Type</t>
        </is>
      </c>
    </row>
    <row r="4">
      <c r="A4" s="4" t="n">
        <v>0</v>
      </c>
      <c r="B4" s="4" t="n">
        <v>0</v>
      </c>
      <c r="C4" s="4" t="inlineStr">
        <is>
          <t>—</t>
        </is>
      </c>
      <c r="D4" s="4" t="inlineStr">
        <is>
          <t>Start</t>
        </is>
      </c>
    </row>
    <row r="5">
      <c r="A5" s="4" t="n">
        <v>1</v>
      </c>
      <c r="B5" s="4" t="n">
        <v>3</v>
      </c>
      <c r="C5" s="5">
        <f>(B5-B4)/(A5-A4)</f>
        <v/>
      </c>
      <c r="D5" s="6">
        <f>IF(C5=0,"Stopped",IF(C5&gt;C4,"Accelerating","Constant"))</f>
        <v/>
      </c>
    </row>
    <row r="6">
      <c r="A6" s="4" t="n">
        <v>2</v>
      </c>
      <c r="B6" s="4" t="n">
        <v>6</v>
      </c>
      <c r="C6" s="5">
        <f>(B6-B5)/(A6-A5)</f>
        <v/>
      </c>
      <c r="D6" s="6">
        <f>IF(C6=0,"Stopped",IF(C6&gt;C5,"Accelerating","Constant"))</f>
        <v/>
      </c>
    </row>
    <row r="7">
      <c r="A7" s="4" t="n">
        <v>3</v>
      </c>
      <c r="B7" s="4" t="n">
        <v>9</v>
      </c>
      <c r="C7" s="5">
        <f>(B7-B6)/(A7-A6)</f>
        <v/>
      </c>
      <c r="D7" s="6">
        <f>IF(C7=0,"Stopped",IF(C7&gt;C6,"Accelerating","Constant"))</f>
        <v/>
      </c>
    </row>
    <row r="8">
      <c r="A8" s="4" t="n">
        <v>4</v>
      </c>
      <c r="B8" s="4" t="n">
        <v>12</v>
      </c>
      <c r="C8" s="5">
        <f>(B8-B7)/(A8-A7)</f>
        <v/>
      </c>
      <c r="D8" s="6">
        <f>IF(C8=0,"Stopped",IF(C8&gt;C7,"Accelerating","Constant"))</f>
        <v/>
      </c>
    </row>
    <row r="9">
      <c r="A9" s="4" t="n">
        <v>5</v>
      </c>
      <c r="B9" s="4" t="n">
        <v>12</v>
      </c>
      <c r="C9" s="5">
        <f>(B9-B8)/(A9-A8)</f>
        <v/>
      </c>
      <c r="D9" s="6">
        <f>IF(C9=0,"Stopped",IF(C9&gt;C8,"Accelerating","Constant"))</f>
        <v/>
      </c>
    </row>
    <row r="10">
      <c r="A10" s="4" t="n">
        <v>6</v>
      </c>
      <c r="B10" s="4" t="n">
        <v>12</v>
      </c>
      <c r="C10" s="5">
        <f>(B10-B9)/(A10-A9)</f>
        <v/>
      </c>
      <c r="D10" s="6">
        <f>IF(C10=0,"Stopped",IF(C10&gt;C9,"Accelerating","Constant"))</f>
        <v/>
      </c>
    </row>
    <row r="11">
      <c r="A11" s="4" t="n">
        <v>7</v>
      </c>
      <c r="B11" s="4" t="n">
        <v>15</v>
      </c>
      <c r="C11" s="5">
        <f>(B11-B10)/(A11-A10)</f>
        <v/>
      </c>
      <c r="D11" s="6">
        <f>IF(C11=0,"Stopped",IF(C11&gt;C10,"Accelerating","Constant"))</f>
        <v/>
      </c>
    </row>
    <row r="12">
      <c r="A12" s="4" t="n">
        <v>8</v>
      </c>
      <c r="B12" s="4" t="n">
        <v>18</v>
      </c>
      <c r="C12" s="5">
        <f>(B12-B11)/(A12-A11)</f>
        <v/>
      </c>
      <c r="D12" s="6">
        <f>IF(C12=0,"Stopped",IF(C12&gt;C11,"Accelerating","Constant"))</f>
        <v/>
      </c>
    </row>
    <row r="13">
      <c r="A13" s="4" t="n">
        <v>9</v>
      </c>
      <c r="B13" s="4" t="n">
        <v>22</v>
      </c>
      <c r="C13" s="5">
        <f>(B13-B12)/(A13-A12)</f>
        <v/>
      </c>
      <c r="D13" s="6">
        <f>IF(C13=0,"Stopped",IF(C13&gt;C12,"Accelerating","Constant"))</f>
        <v/>
      </c>
    </row>
    <row r="14">
      <c r="A14" s="4" t="n">
        <v>10</v>
      </c>
      <c r="B14" s="4" t="n">
        <v>28</v>
      </c>
      <c r="C14" s="5">
        <f>(B14-B13)/(A14-A13)</f>
        <v/>
      </c>
      <c r="D14" s="6">
        <f>IF(C14=0,"Stopped",IF(C14&gt;C13,"Accelerating","Constant"))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Bus Route Design</t>
        </is>
      </c>
    </row>
    <row r="2" ht="18" customHeight="1">
      <c r="A2" s="2" t="inlineStr">
        <is>
          <t>Required speed between stops</t>
        </is>
      </c>
    </row>
    <row r="3" ht="32" customHeight="1">
      <c r="A3" s="3" t="inlineStr">
        <is>
          <t>Stop</t>
        </is>
      </c>
      <c r="B3" s="3" t="inlineStr">
        <is>
          <t>Distance next (m)</t>
        </is>
      </c>
      <c r="C3" s="3" t="inlineStr">
        <is>
          <t>Time (s)</t>
        </is>
      </c>
      <c r="D3" s="3" t="inlineStr">
        <is>
          <t>Speed (m/s)</t>
        </is>
      </c>
      <c r="E3" s="3" t="inlineStr">
        <is>
          <t>Safe (&lt;15)?</t>
        </is>
      </c>
    </row>
    <row r="4">
      <c r="A4" s="7" t="inlineStr">
        <is>
          <t>Stop A</t>
        </is>
      </c>
      <c r="B4" s="7" t="n">
        <v>800</v>
      </c>
      <c r="C4" s="7" t="n">
        <v>60</v>
      </c>
      <c r="D4" s="8">
        <f>B4/C4</f>
        <v/>
      </c>
      <c r="E4" s="9">
        <f>IF(D4&lt;15,"✅ Safe","⚠ Over limit")</f>
        <v/>
      </c>
    </row>
    <row r="5">
      <c r="A5" s="7" t="inlineStr">
        <is>
          <t>Stop B</t>
        </is>
      </c>
      <c r="B5" s="7" t="n">
        <v>1200</v>
      </c>
      <c r="C5" s="7" t="n">
        <v>90</v>
      </c>
      <c r="D5" s="8">
        <f>B5/C5</f>
        <v/>
      </c>
      <c r="E5" s="9">
        <f>IF(D5&lt;15,"✅ Safe","⚠ Over limit")</f>
        <v/>
      </c>
    </row>
    <row r="6">
      <c r="A6" s="7" t="inlineStr">
        <is>
          <t>Stop C</t>
        </is>
      </c>
      <c r="B6" s="7" t="n">
        <v>500</v>
      </c>
      <c r="C6" s="7" t="n">
        <v>45</v>
      </c>
      <c r="D6" s="8">
        <f>B6/C6</f>
        <v/>
      </c>
      <c r="E6" s="9">
        <f>IF(D6&lt;15,"✅ Safe","⚠ Over limit")</f>
        <v/>
      </c>
    </row>
    <row r="7">
      <c r="A7" s="7" t="inlineStr">
        <is>
          <t>Stop D</t>
        </is>
      </c>
      <c r="B7" s="7" t="n">
        <v>2400</v>
      </c>
      <c r="C7" s="7" t="n">
        <v>150</v>
      </c>
      <c r="D7" s="8">
        <f>B7/C7</f>
        <v/>
      </c>
      <c r="E7" s="9">
        <f>IF(D7&lt;15,"✅ Safe","⚠ Over limit")</f>
        <v/>
      </c>
    </row>
    <row r="8">
      <c r="A8" s="7" t="inlineStr">
        <is>
          <t>Stop E</t>
        </is>
      </c>
      <c r="B8" s="7" t="n">
        <v>600</v>
      </c>
      <c r="C8" s="7" t="n">
        <v>50</v>
      </c>
      <c r="D8" s="8">
        <f>B8/C8</f>
        <v/>
      </c>
      <c r="E8" s="9">
        <f>IF(D8&lt;15,"✅ Safe","⚠ Over limit")</f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2026-04-21T19:25:54Z</dcterms:created>
  <dcterms:modified xmlns:dcterms="http://purl.org/dc/terms/" xmlns:xsi="http://www.w3.org/2001/XMLSchema-instance" xsi:type="dcterms:W3CDTF">2026-04-21T19:25:54Z</dcterms:modified>
</cp:coreProperties>
</file>