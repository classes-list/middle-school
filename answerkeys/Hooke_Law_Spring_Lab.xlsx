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A" sheetId="1" state="visible" r:id="rId1"/>
    <sheet xmlns:r="http://schemas.openxmlformats.org/officeDocument/2006/relationships" name="Spring B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 vs. x for Springs A &amp; B</a:t>
            </a:r>
          </a:p>
        </rich>
      </tx>
    </title>
    <plotArea>
      <scatterChart>
        <ser>
          <idx val="0"/>
          <order val="0"/>
          <tx>
            <v>Spring 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'Spring A'!$A$4:$A$13</f>
            </numRef>
          </xVal>
          <yVal>
            <numRef>
              <f>'Spring A'!$B$4:$B$13</f>
            </numRef>
          </yVal>
        </ser>
        <ser>
          <idx val="1"/>
          <order val="1"/>
          <tx>
            <v>Spring B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'Spring B'!$A$4:$A$13</f>
            </numRef>
          </xVal>
          <yVal>
            <numRef>
              <f>'Spring B'!$B$4:$B$13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Stretch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(N)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Spring A — Hooke's Law</t>
        </is>
      </c>
    </row>
    <row r="2" ht="18" customHeight="1">
      <c r="A2" s="2" t="inlineStr">
        <is>
          <t>Force vs. stretch, compute k</t>
        </is>
      </c>
    </row>
    <row r="3" ht="32" customHeight="1">
      <c r="A3" s="3" t="inlineStr">
        <is>
          <t>Stretch (cm)</t>
        </is>
      </c>
      <c r="B3" s="3" t="inlineStr">
        <is>
          <t>Force (N)</t>
        </is>
      </c>
      <c r="C3" s="3" t="inlineStr">
        <is>
          <t>k (=F/x)</t>
        </is>
      </c>
      <c r="D3" s="3" t="inlineStr">
        <is>
          <t>Predicted F</t>
        </is>
      </c>
      <c r="E3" s="3" t="inlineStr">
        <is>
          <t>Residual</t>
        </is>
      </c>
      <c r="F3" s="4" t="inlineStr">
        <is>
          <t>Avg k =</t>
        </is>
      </c>
      <c r="G3" s="5">
        <f>AVERAGE(C4:C13)</f>
        <v/>
      </c>
    </row>
    <row r="4">
      <c r="A4" s="6" t="n">
        <v>1</v>
      </c>
      <c r="B4" s="6" t="n">
        <v>2.1</v>
      </c>
      <c r="C4" s="5">
        <f>B4/A4</f>
        <v/>
      </c>
      <c r="D4" s="7">
        <f>$G$3*A4</f>
        <v/>
      </c>
      <c r="E4" s="7">
        <f>B4-D4</f>
        <v/>
      </c>
    </row>
    <row r="5">
      <c r="A5" s="6" t="n">
        <v>2</v>
      </c>
      <c r="B5" s="6" t="n">
        <v>4</v>
      </c>
      <c r="C5" s="5">
        <f>B5/A5</f>
        <v/>
      </c>
      <c r="D5" s="7">
        <f>$G$3*A5</f>
        <v/>
      </c>
      <c r="E5" s="7">
        <f>B5-D5</f>
        <v/>
      </c>
    </row>
    <row r="6">
      <c r="A6" s="6" t="n">
        <v>3</v>
      </c>
      <c r="B6" s="6" t="n">
        <v>6.2</v>
      </c>
      <c r="C6" s="5">
        <f>B6/A6</f>
        <v/>
      </c>
      <c r="D6" s="7">
        <f>$G$3*A6</f>
        <v/>
      </c>
      <c r="E6" s="7">
        <f>B6-D6</f>
        <v/>
      </c>
    </row>
    <row r="7">
      <c r="A7" s="6" t="n">
        <v>4</v>
      </c>
      <c r="B7" s="6" t="n">
        <v>7.9</v>
      </c>
      <c r="C7" s="5">
        <f>B7/A7</f>
        <v/>
      </c>
      <c r="D7" s="7">
        <f>$G$3*A7</f>
        <v/>
      </c>
      <c r="E7" s="7">
        <f>B7-D7</f>
        <v/>
      </c>
    </row>
    <row r="8">
      <c r="A8" s="6" t="n">
        <v>5</v>
      </c>
      <c r="B8" s="6" t="n">
        <v>10.1</v>
      </c>
      <c r="C8" s="5">
        <f>B8/A8</f>
        <v/>
      </c>
      <c r="D8" s="7">
        <f>$G$3*A8</f>
        <v/>
      </c>
      <c r="E8" s="7">
        <f>B8-D8</f>
        <v/>
      </c>
    </row>
    <row r="9">
      <c r="A9" s="6" t="n">
        <v>6</v>
      </c>
      <c r="B9" s="6" t="n">
        <v>12.1</v>
      </c>
      <c r="C9" s="5">
        <f>B9/A9</f>
        <v/>
      </c>
      <c r="D9" s="7">
        <f>$G$3*A9</f>
        <v/>
      </c>
      <c r="E9" s="7">
        <f>B9-D9</f>
        <v/>
      </c>
    </row>
    <row r="10">
      <c r="A10" s="6" t="n">
        <v>7</v>
      </c>
      <c r="B10" s="6" t="n">
        <v>14</v>
      </c>
      <c r="C10" s="5">
        <f>B10/A10</f>
        <v/>
      </c>
      <c r="D10" s="7">
        <f>$G$3*A10</f>
        <v/>
      </c>
      <c r="E10" s="7">
        <f>B10-D10</f>
        <v/>
      </c>
    </row>
    <row r="11">
      <c r="A11" s="6" t="n">
        <v>8</v>
      </c>
      <c r="B11" s="6" t="n">
        <v>16.1</v>
      </c>
      <c r="C11" s="5">
        <f>B11/A11</f>
        <v/>
      </c>
      <c r="D11" s="7">
        <f>$G$3*A11</f>
        <v/>
      </c>
      <c r="E11" s="7">
        <f>B11-D11</f>
        <v/>
      </c>
    </row>
    <row r="12">
      <c r="A12" s="6" t="n">
        <v>9</v>
      </c>
      <c r="B12" s="6" t="n">
        <v>18</v>
      </c>
      <c r="C12" s="5">
        <f>B12/A12</f>
        <v/>
      </c>
      <c r="D12" s="7">
        <f>$G$3*A12</f>
        <v/>
      </c>
      <c r="E12" s="7">
        <f>B12-D12</f>
        <v/>
      </c>
    </row>
    <row r="13">
      <c r="A13" s="6" t="n">
        <v>10</v>
      </c>
      <c r="B13" s="6" t="n">
        <v>19.9</v>
      </c>
      <c r="C13" s="5">
        <f>B13/A13</f>
        <v/>
      </c>
      <c r="D13" s="7">
        <f>$G$3*A13</f>
        <v/>
      </c>
      <c r="E13" s="7">
        <f>B13-D13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Spring B — ~2× stiffer</t>
        </is>
      </c>
    </row>
    <row r="2" ht="18" customHeight="1">
      <c r="A2" s="2" t="inlineStr">
        <is>
          <t>Force vs. stretch, compute k</t>
        </is>
      </c>
    </row>
    <row r="3" ht="32" customHeight="1">
      <c r="A3" s="3" t="inlineStr">
        <is>
          <t>Stretch (cm)</t>
        </is>
      </c>
      <c r="B3" s="3" t="inlineStr">
        <is>
          <t>Force (N)</t>
        </is>
      </c>
      <c r="C3" s="3" t="inlineStr">
        <is>
          <t>k (=F/x)</t>
        </is>
      </c>
      <c r="D3" s="3" t="inlineStr">
        <is>
          <t>Predicted F</t>
        </is>
      </c>
      <c r="E3" s="3" t="inlineStr">
        <is>
          <t>Residual</t>
        </is>
      </c>
      <c r="F3" s="4" t="inlineStr">
        <is>
          <t>Avg k =</t>
        </is>
      </c>
      <c r="G3" s="5">
        <f>AVERAGE(C4:C13)</f>
        <v/>
      </c>
    </row>
    <row r="4">
      <c r="A4" s="6" t="n">
        <v>1</v>
      </c>
      <c r="B4" s="6" t="n">
        <v>4.2</v>
      </c>
      <c r="C4" s="5">
        <f>B4/A4</f>
        <v/>
      </c>
      <c r="D4" s="7">
        <f>$G$3*A4</f>
        <v/>
      </c>
      <c r="E4" s="7">
        <f>B4-D4</f>
        <v/>
      </c>
    </row>
    <row r="5">
      <c r="A5" s="6" t="n">
        <v>2</v>
      </c>
      <c r="B5" s="6" t="n">
        <v>7.9</v>
      </c>
      <c r="C5" s="5">
        <f>B5/A5</f>
        <v/>
      </c>
      <c r="D5" s="7">
        <f>$G$3*A5</f>
        <v/>
      </c>
      <c r="E5" s="7">
        <f>B5-D5</f>
        <v/>
      </c>
    </row>
    <row r="6">
      <c r="A6" s="6" t="n">
        <v>3</v>
      </c>
      <c r="B6" s="6" t="n">
        <v>12.1</v>
      </c>
      <c r="C6" s="5">
        <f>B6/A6</f>
        <v/>
      </c>
      <c r="D6" s="7">
        <f>$G$3*A6</f>
        <v/>
      </c>
      <c r="E6" s="7">
        <f>B6-D6</f>
        <v/>
      </c>
    </row>
    <row r="7">
      <c r="A7" s="6" t="n">
        <v>4</v>
      </c>
      <c r="B7" s="6" t="n">
        <v>16</v>
      </c>
      <c r="C7" s="5">
        <f>B7/A7</f>
        <v/>
      </c>
      <c r="D7" s="7">
        <f>$G$3*A7</f>
        <v/>
      </c>
      <c r="E7" s="7">
        <f>B7-D7</f>
        <v/>
      </c>
    </row>
    <row r="8">
      <c r="A8" s="6" t="n">
        <v>5</v>
      </c>
      <c r="B8" s="6" t="n">
        <v>20.2</v>
      </c>
      <c r="C8" s="5">
        <f>B8/A8</f>
        <v/>
      </c>
      <c r="D8" s="7">
        <f>$G$3*A8</f>
        <v/>
      </c>
      <c r="E8" s="7">
        <f>B8-D8</f>
        <v/>
      </c>
    </row>
    <row r="9">
      <c r="A9" s="6" t="n">
        <v>6</v>
      </c>
      <c r="B9" s="6" t="n">
        <v>24.1</v>
      </c>
      <c r="C9" s="5">
        <f>B9/A9</f>
        <v/>
      </c>
      <c r="D9" s="7">
        <f>$G$3*A9</f>
        <v/>
      </c>
      <c r="E9" s="7">
        <f>B9-D9</f>
        <v/>
      </c>
    </row>
    <row r="10">
      <c r="A10" s="6" t="n">
        <v>7</v>
      </c>
      <c r="B10" s="6" t="n">
        <v>28</v>
      </c>
      <c r="C10" s="5">
        <f>B10/A10</f>
        <v/>
      </c>
      <c r="D10" s="7">
        <f>$G$3*A10</f>
        <v/>
      </c>
      <c r="E10" s="7">
        <f>B10-D10</f>
        <v/>
      </c>
    </row>
    <row r="11">
      <c r="A11" s="6" t="n">
        <v>8</v>
      </c>
      <c r="B11" s="6" t="n">
        <v>32.1</v>
      </c>
      <c r="C11" s="5">
        <f>B11/A11</f>
        <v/>
      </c>
      <c r="D11" s="7">
        <f>$G$3*A11</f>
        <v/>
      </c>
      <c r="E11" s="7">
        <f>B11-D11</f>
        <v/>
      </c>
    </row>
    <row r="12">
      <c r="A12" s="6" t="n">
        <v>9</v>
      </c>
      <c r="B12" s="6" t="n">
        <v>35.9</v>
      </c>
      <c r="C12" s="5">
        <f>B12/A12</f>
        <v/>
      </c>
      <c r="D12" s="7">
        <f>$G$3*A12</f>
        <v/>
      </c>
      <c r="E12" s="7">
        <f>B12-D12</f>
        <v/>
      </c>
    </row>
    <row r="13">
      <c r="A13" s="6" t="n">
        <v>10</v>
      </c>
      <c r="B13" s="6" t="n">
        <v>40.1</v>
      </c>
      <c r="C13" s="5">
        <f>B13/A13</f>
        <v/>
      </c>
      <c r="D13" s="7">
        <f>$G$3*A13</f>
        <v/>
      </c>
      <c r="E13" s="7">
        <f>B13-D13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Both Springs — Scatter</t>
        </is>
      </c>
    </row>
    <row r="2" ht="18" customHeight="1">
      <c r="A2" s="2" t="inlineStr">
        <is>
          <t>Linear regression</t>
        </is>
      </c>
    </row>
  </sheetData>
  <mergeCells count="2">
    <mergeCell ref="A2"/>
    <mergeCell ref="A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2026-04-21T19:25:54Z</dcterms:created>
  <dcterms:modified xmlns:dcterms="http://purl.org/dc/terms/" xmlns:xsi="http://www.w3.org/2001/XMLSchema-instance" xsi:type="dcterms:W3CDTF">2026-04-21T19:25:54Z</dcterms:modified>
</cp:coreProperties>
</file>