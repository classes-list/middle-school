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ival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10"/>
    </font>
    <font>
      <name val="Arial"/>
      <b val="1"/>
      <color rgb="00FFFFFF"/>
    </font>
    <font>
      <name val="Arial"/>
      <color rgb="000000FF"/>
    </font>
    <font>
      <name val="Arial"/>
      <color rgb="00000000"/>
    </font>
    <font>
      <b val="1"/>
    </font>
  </fonts>
  <fills count="3">
    <fill>
      <patternFill/>
    </fill>
    <fill>
      <patternFill patternType="gray125"/>
    </fill>
    <fill>
      <patternFill patternType="solid">
        <fgColor rgb="001B3A8A"/>
      </patternFill>
    </fill>
  </fills>
  <borders count="2">
    <border>
      <left/>
      <right/>
      <top/>
      <bottom/>
      <diagonal/>
    </border>
    <border>
      <bottom style="medium">
        <color rgb="00FFD1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5" fillId="0" borderId="0" pivotButton="0" quotePrefix="0" xfId="0"/>
    <xf numFmtId="16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Ocean Temperature (30 days)</a:t>
            </a:r>
          </a:p>
        </rich>
      </tx>
    </title>
    <plotArea>
      <lineChart>
        <grouping val="standard"/>
        <ser>
          <idx val="0"/>
          <order val="0"/>
          <tx>
            <strRef>
              <f>'Survival Monitor'!B3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'Survival Monitor'!$A$4:$A$33</f>
            </numRef>
          </cat>
          <val>
            <numRef>
              <f>'Survival Monitor'!$B$4:$B$33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Temp (°F)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22" customWidth="1" min="4" max="4"/>
  </cols>
  <sheetData>
    <row r="1" ht="26" customHeight="1">
      <c r="A1" s="1" t="inlineStr">
        <is>
          <t>Species Survival Inequality Monitor</t>
        </is>
      </c>
    </row>
    <row r="2" ht="18" customHeight="1">
      <c r="A2" s="2" t="inlineStr">
        <is>
          <t>30-day ocean temperature check</t>
        </is>
      </c>
    </row>
    <row r="3" ht="32" customHeight="1">
      <c r="A3" s="3" t="inlineStr">
        <is>
          <t>Day</t>
        </is>
      </c>
      <c r="B3" s="3" t="inlineStr">
        <is>
          <t>Temp (°F)</t>
        </is>
      </c>
      <c r="C3" s="3" t="inlineStr">
        <is>
          <t>Status</t>
        </is>
      </c>
      <c r="D3" s="3" t="inlineStr">
        <is>
          <t>Distance from Range</t>
        </is>
      </c>
    </row>
    <row r="4">
      <c r="A4" s="4" t="n">
        <v>1</v>
      </c>
      <c r="B4" s="4" t="n">
        <v>67</v>
      </c>
      <c r="C4" s="5">
        <f>IF(AND(B4&gt;=60,B4&lt;=85),"✅ Safe","⚠ Danger")</f>
        <v/>
      </c>
      <c r="D4" s="5">
        <f>IF(B4&lt;60,60-B4,IF(B4&gt;85,B4-85,0))</f>
        <v/>
      </c>
    </row>
    <row r="5">
      <c r="A5" s="4" t="n">
        <v>2</v>
      </c>
      <c r="B5" s="4" t="n">
        <v>66.8</v>
      </c>
      <c r="C5" s="5">
        <f>IF(AND(B5&gt;=60,B5&lt;=85),"✅ Safe","⚠ Danger")</f>
        <v/>
      </c>
      <c r="D5" s="5">
        <f>IF(B5&lt;60,60-B5,IF(B5&gt;85,B5-85,0))</f>
        <v/>
      </c>
    </row>
    <row r="6">
      <c r="A6" s="4" t="n">
        <v>3</v>
      </c>
      <c r="B6" s="4" t="n">
        <v>66.5</v>
      </c>
      <c r="C6" s="5">
        <f>IF(AND(B6&gt;=60,B6&lt;=85),"✅ Safe","⚠ Danger")</f>
        <v/>
      </c>
      <c r="D6" s="5">
        <f>IF(B6&lt;60,60-B6,IF(B6&gt;85,B6-85,0))</f>
        <v/>
      </c>
    </row>
    <row r="7">
      <c r="A7" s="4" t="n">
        <v>4</v>
      </c>
      <c r="B7" s="4" t="n">
        <v>62.7</v>
      </c>
      <c r="C7" s="5">
        <f>IF(AND(B7&gt;=60,B7&lt;=85),"✅ Safe","⚠ Danger")</f>
        <v/>
      </c>
      <c r="D7" s="5">
        <f>IF(B7&lt;60,60-B7,IF(B7&gt;85,B7-85,0))</f>
        <v/>
      </c>
    </row>
    <row r="8">
      <c r="A8" s="4" t="n">
        <v>5</v>
      </c>
      <c r="B8" s="4" t="n">
        <v>62.5</v>
      </c>
      <c r="C8" s="5">
        <f>IF(AND(B8&gt;=60,B8&lt;=85),"✅ Safe","⚠ Danger")</f>
        <v/>
      </c>
      <c r="D8" s="5">
        <f>IF(B8&lt;60,60-B8,IF(B8&gt;85,B8-85,0))</f>
        <v/>
      </c>
    </row>
    <row r="9">
      <c r="A9" s="4" t="n">
        <v>6</v>
      </c>
      <c r="B9" s="4" t="n">
        <v>62.3</v>
      </c>
      <c r="C9" s="5">
        <f>IF(AND(B9&gt;=60,B9&lt;=85),"✅ Safe","⚠ Danger")</f>
        <v/>
      </c>
      <c r="D9" s="5">
        <f>IF(B9&lt;60,60-B9,IF(B9&gt;85,B9-85,0))</f>
        <v/>
      </c>
    </row>
    <row r="10">
      <c r="A10" s="4" t="n">
        <v>7</v>
      </c>
      <c r="B10" s="4" t="n">
        <v>58.4</v>
      </c>
      <c r="C10" s="5">
        <f>IF(AND(B10&gt;=60,B10&lt;=85),"✅ Safe","⚠ Danger")</f>
        <v/>
      </c>
      <c r="D10" s="5">
        <f>IF(B10&lt;60,60-B10,IF(B10&gt;85,B10-85,0))</f>
        <v/>
      </c>
    </row>
    <row r="11">
      <c r="A11" s="4" t="n">
        <v>8</v>
      </c>
      <c r="B11" s="4" t="n">
        <v>58.2</v>
      </c>
      <c r="C11" s="5">
        <f>IF(AND(B11&gt;=60,B11&lt;=85),"✅ Safe","⚠ Danger")</f>
        <v/>
      </c>
      <c r="D11" s="5">
        <f>IF(B11&lt;60,60-B11,IF(B11&gt;85,B11-85,0))</f>
        <v/>
      </c>
    </row>
    <row r="12">
      <c r="A12" s="4" t="n">
        <v>9</v>
      </c>
      <c r="B12" s="4" t="n">
        <v>60.8</v>
      </c>
      <c r="C12" s="5">
        <f>IF(AND(B12&gt;=60,B12&lt;=85),"✅ Safe","⚠ Danger")</f>
        <v/>
      </c>
      <c r="D12" s="5">
        <f>IF(B12&lt;60,60-B12,IF(B12&gt;85,B12-85,0))</f>
        <v/>
      </c>
    </row>
    <row r="13">
      <c r="A13" s="4" t="n">
        <v>10</v>
      </c>
      <c r="B13" s="4" t="n">
        <v>59.9</v>
      </c>
      <c r="C13" s="5">
        <f>IF(AND(B13&gt;=60,B13&lt;=85),"✅ Safe","⚠ Danger")</f>
        <v/>
      </c>
      <c r="D13" s="5">
        <f>IF(B13&lt;60,60-B13,IF(B13&gt;85,B13-85,0))</f>
        <v/>
      </c>
    </row>
    <row r="14">
      <c r="A14" s="4" t="n">
        <v>11</v>
      </c>
      <c r="B14" s="4" t="n">
        <v>62.5</v>
      </c>
      <c r="C14" s="5">
        <f>IF(AND(B14&gt;=60,B14&lt;=85),"✅ Safe","⚠ Danger")</f>
        <v/>
      </c>
      <c r="D14" s="5">
        <f>IF(B14&lt;60,60-B14,IF(B14&gt;85,B14-85,0))</f>
        <v/>
      </c>
    </row>
    <row r="15">
      <c r="A15" s="4" t="n">
        <v>12</v>
      </c>
      <c r="B15" s="4" t="n">
        <v>65.09999999999999</v>
      </c>
      <c r="C15" s="5">
        <f>IF(AND(B15&gt;=60,B15&lt;=85),"✅ Safe","⚠ Danger")</f>
        <v/>
      </c>
      <c r="D15" s="5">
        <f>IF(B15&lt;60,60-B15,IF(B15&gt;85,B15-85,0))</f>
        <v/>
      </c>
    </row>
    <row r="16">
      <c r="A16" s="4" t="n">
        <v>13</v>
      </c>
      <c r="B16" s="4" t="n">
        <v>64.09999999999999</v>
      </c>
      <c r="C16" s="5">
        <f>IF(AND(B16&gt;=60,B16&lt;=85),"✅ Safe","⚠ Danger")</f>
        <v/>
      </c>
      <c r="D16" s="5">
        <f>IF(B16&lt;60,60-B16,IF(B16&gt;85,B16-85,0))</f>
        <v/>
      </c>
    </row>
    <row r="17">
      <c r="A17" s="4" t="n">
        <v>14</v>
      </c>
      <c r="B17" s="4" t="n">
        <v>66.8</v>
      </c>
      <c r="C17" s="5">
        <f>IF(AND(B17&gt;=60,B17&lt;=85),"✅ Safe","⚠ Danger")</f>
        <v/>
      </c>
      <c r="D17" s="5">
        <f>IF(B17&lt;60,60-B17,IF(B17&gt;85,B17-85,0))</f>
        <v/>
      </c>
    </row>
    <row r="18">
      <c r="A18" s="4" t="n">
        <v>15</v>
      </c>
      <c r="B18" s="4" t="n">
        <v>69.40000000000001</v>
      </c>
      <c r="C18" s="5">
        <f>IF(AND(B18&gt;=60,B18&lt;=85),"✅ Safe","⚠ Danger")</f>
        <v/>
      </c>
      <c r="D18" s="5">
        <f>IF(B18&lt;60,60-B18,IF(B18&gt;85,B18-85,0))</f>
        <v/>
      </c>
    </row>
    <row r="19">
      <c r="A19" s="4" t="n">
        <v>16</v>
      </c>
      <c r="B19" s="4" t="n">
        <v>67</v>
      </c>
      <c r="C19" s="5">
        <f>IF(AND(B19&gt;=60,B19&lt;=85),"✅ Safe","⚠ Danger")</f>
        <v/>
      </c>
      <c r="D19" s="5">
        <f>IF(B19&lt;60,60-B19,IF(B19&gt;85,B19-85,0))</f>
        <v/>
      </c>
    </row>
    <row r="20">
      <c r="A20" s="4" t="n">
        <v>17</v>
      </c>
      <c r="B20" s="4" t="n">
        <v>66.8</v>
      </c>
      <c r="C20" s="5">
        <f>IF(AND(B20&gt;=60,B20&lt;=85),"✅ Safe","⚠ Danger")</f>
        <v/>
      </c>
      <c r="D20" s="5">
        <f>IF(B20&lt;60,60-B20,IF(B20&gt;85,B20-85,0))</f>
        <v/>
      </c>
    </row>
    <row r="21">
      <c r="A21" s="4" t="n">
        <v>18</v>
      </c>
      <c r="B21" s="4" t="n">
        <v>66.5</v>
      </c>
      <c r="C21" s="5">
        <f>IF(AND(B21&gt;=60,B21&lt;=85),"✅ Safe","⚠ Danger")</f>
        <v/>
      </c>
      <c r="D21" s="5">
        <f>IF(B21&lt;60,60-B21,IF(B21&gt;85,B21-85,0))</f>
        <v/>
      </c>
    </row>
    <row r="22">
      <c r="A22" s="4" t="n">
        <v>19</v>
      </c>
      <c r="B22" s="4" t="n">
        <v>62.7</v>
      </c>
      <c r="C22" s="5">
        <f>IF(AND(B22&gt;=60,B22&lt;=85),"✅ Safe","⚠ Danger")</f>
        <v/>
      </c>
      <c r="D22" s="5">
        <f>IF(B22&lt;60,60-B22,IF(B22&gt;85,B22-85,0))</f>
        <v/>
      </c>
    </row>
    <row r="23">
      <c r="A23" s="4" t="n">
        <v>20</v>
      </c>
      <c r="B23" s="4" t="n">
        <v>62.5</v>
      </c>
      <c r="C23" s="5">
        <f>IF(AND(B23&gt;=60,B23&lt;=85),"✅ Safe","⚠ Danger")</f>
        <v/>
      </c>
      <c r="D23" s="5">
        <f>IF(B23&lt;60,60-B23,IF(B23&gt;85,B23-85,0))</f>
        <v/>
      </c>
    </row>
    <row r="24">
      <c r="A24" s="4" t="n">
        <v>21</v>
      </c>
      <c r="B24" s="4" t="n">
        <v>62.3</v>
      </c>
      <c r="C24" s="5">
        <f>IF(AND(B24&gt;=60,B24&lt;=85),"✅ Safe","⚠ Danger")</f>
        <v/>
      </c>
      <c r="D24" s="5">
        <f>IF(B24&lt;60,60-B24,IF(B24&gt;85,B24-85,0))</f>
        <v/>
      </c>
    </row>
    <row r="25">
      <c r="A25" s="4" t="n">
        <v>22</v>
      </c>
      <c r="B25" s="4" t="n">
        <v>58.4</v>
      </c>
      <c r="C25" s="5">
        <f>IF(AND(B25&gt;=60,B25&lt;=85),"✅ Safe","⚠ Danger")</f>
        <v/>
      </c>
      <c r="D25" s="5">
        <f>IF(B25&lt;60,60-B25,IF(B25&gt;85,B25-85,0))</f>
        <v/>
      </c>
    </row>
    <row r="26">
      <c r="A26" s="4" t="n">
        <v>23</v>
      </c>
      <c r="B26" s="4" t="n">
        <v>58.2</v>
      </c>
      <c r="C26" s="5">
        <f>IF(AND(B26&gt;=60,B26&lt;=85),"✅ Safe","⚠ Danger")</f>
        <v/>
      </c>
      <c r="D26" s="5">
        <f>IF(B26&lt;60,60-B26,IF(B26&gt;85,B26-85,0))</f>
        <v/>
      </c>
    </row>
    <row r="27">
      <c r="A27" s="4" t="n">
        <v>24</v>
      </c>
      <c r="B27" s="4" t="n">
        <v>60.8</v>
      </c>
      <c r="C27" s="5">
        <f>IF(AND(B27&gt;=60,B27&lt;=85),"✅ Safe","⚠ Danger")</f>
        <v/>
      </c>
      <c r="D27" s="5">
        <f>IF(B27&lt;60,60-B27,IF(B27&gt;85,B27-85,0))</f>
        <v/>
      </c>
    </row>
    <row r="28">
      <c r="A28" s="4" t="n">
        <v>25</v>
      </c>
      <c r="B28" s="4" t="n">
        <v>59.9</v>
      </c>
      <c r="C28" s="5">
        <f>IF(AND(B28&gt;=60,B28&lt;=85),"✅ Safe","⚠ Danger")</f>
        <v/>
      </c>
      <c r="D28" s="5">
        <f>IF(B28&lt;60,60-B28,IF(B28&gt;85,B28-85,0))</f>
        <v/>
      </c>
    </row>
    <row r="29">
      <c r="A29" s="4" t="n">
        <v>26</v>
      </c>
      <c r="B29" s="4" t="n">
        <v>62.5</v>
      </c>
      <c r="C29" s="5">
        <f>IF(AND(B29&gt;=60,B29&lt;=85),"✅ Safe","⚠ Danger")</f>
        <v/>
      </c>
      <c r="D29" s="5">
        <f>IF(B29&lt;60,60-B29,IF(B29&gt;85,B29-85,0))</f>
        <v/>
      </c>
    </row>
    <row r="30">
      <c r="A30" s="4" t="n">
        <v>27</v>
      </c>
      <c r="B30" s="4" t="n">
        <v>65.09999999999999</v>
      </c>
      <c r="C30" s="5">
        <f>IF(AND(B30&gt;=60,B30&lt;=85),"✅ Safe","⚠ Danger")</f>
        <v/>
      </c>
      <c r="D30" s="5">
        <f>IF(B30&lt;60,60-B30,IF(B30&gt;85,B30-85,0))</f>
        <v/>
      </c>
    </row>
    <row r="31">
      <c r="A31" s="4" t="n">
        <v>28</v>
      </c>
      <c r="B31" s="4" t="n">
        <v>64.09999999999999</v>
      </c>
      <c r="C31" s="5">
        <f>IF(AND(B31&gt;=60,B31&lt;=85),"✅ Safe","⚠ Danger")</f>
        <v/>
      </c>
      <c r="D31" s="5">
        <f>IF(B31&lt;60,60-B31,IF(B31&gt;85,B31-85,0))</f>
        <v/>
      </c>
    </row>
    <row r="32">
      <c r="A32" s="4" t="n">
        <v>29</v>
      </c>
      <c r="B32" s="4" t="n">
        <v>66.8</v>
      </c>
      <c r="C32" s="5">
        <f>IF(AND(B32&gt;=60,B32&lt;=85),"✅ Safe","⚠ Danger")</f>
        <v/>
      </c>
      <c r="D32" s="5">
        <f>IF(B32&lt;60,60-B32,IF(B32&gt;85,B32-85,0))</f>
        <v/>
      </c>
    </row>
    <row r="33">
      <c r="A33" s="4" t="n">
        <v>30</v>
      </c>
      <c r="B33" s="4" t="n">
        <v>69.40000000000001</v>
      </c>
      <c r="C33" s="5">
        <f>IF(AND(B33&gt;=60,B33&lt;=85),"✅ Safe","⚠ Danger")</f>
        <v/>
      </c>
      <c r="D33" s="5">
        <f>IF(B33&lt;60,60-B33,IF(B33&gt;85,B33-85,0))</f>
        <v/>
      </c>
    </row>
    <row r="36">
      <c r="A36" s="6" t="inlineStr">
        <is>
          <t>Danger Days:</t>
        </is>
      </c>
      <c r="B36" s="7">
        <f>COUNTIF(C4:C33,"⚠ Danger")</f>
        <v/>
      </c>
    </row>
    <row r="37">
      <c r="A37" s="6" t="inlineStr">
        <is>
          <t>% Danger:</t>
        </is>
      </c>
      <c r="B37" s="8">
        <f>B36/30*100</f>
        <v/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2026-04-21T19:17:33Z</dcterms:created>
  <dcterms:modified xmlns:dcterms="http://purl.org/dc/terms/" xmlns:xsi="http://www.w3.org/2001/XMLSchema-instance" xsi:type="dcterms:W3CDTF">2026-04-21T19:17:33Z</dcterms:modified>
</cp:coreProperties>
</file>