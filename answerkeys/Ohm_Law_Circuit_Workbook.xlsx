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m Solver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V vs 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2" fontId="4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0" fontId="4" fillId="0" borderId="0" pivotButton="0" quotePrefix="0" xfId="0"/>
    <xf numFmtId="2" fontId="5" fillId="0" borderId="0" pivotButton="0" quotePrefix="0" xfId="0"/>
    <xf numFmtId="0" fontId="5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 vs. I by Resistance</a:t>
            </a:r>
          </a:p>
        </rich>
      </tx>
    </title>
    <plotArea>
      <lineChart>
        <grouping val="standard"/>
        <ser>
          <idx val="0"/>
          <order val="0"/>
          <tx>
            <strRef>
              <f>'V vs I'!B3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 vs I'!$A$4:$A$14</f>
            </numRef>
          </cat>
          <val>
            <numRef>
              <f>'V vs I'!$B$4:$B$14</f>
            </numRef>
          </val>
        </ser>
        <ser>
          <idx val="1"/>
          <order val="1"/>
          <tx>
            <strRef>
              <f>'V vs I'!C3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 vs I'!$A$4:$A$14</f>
            </numRef>
          </cat>
          <val>
            <numRef>
              <f>'V vs I'!$C$4:$C$14</f>
            </numRef>
          </val>
        </ser>
        <ser>
          <idx val="2"/>
          <order val="2"/>
          <tx>
            <strRef>
              <f>'V vs I'!D3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 vs I'!$A$4:$A$14</f>
            </numRef>
          </cat>
          <val>
            <numRef>
              <f>'V vs I'!$D$4:$D$14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Ohm's Law Solver</t>
        </is>
      </c>
    </row>
    <row r="2" ht="18" customHeight="1">
      <c r="A2" s="2" t="inlineStr">
        <is>
          <t>Enter any two, solve the third</t>
        </is>
      </c>
    </row>
    <row r="3" ht="32" customHeight="1">
      <c r="A3" s="3" t="inlineStr">
        <is>
          <t>V (volts)</t>
        </is>
      </c>
      <c r="B3" s="3" t="inlineStr">
        <is>
          <t>I (amps)</t>
        </is>
      </c>
      <c r="C3" s="3" t="inlineStr">
        <is>
          <t>R (ohms)</t>
        </is>
      </c>
      <c r="D3" s="3" t="inlineStr">
        <is>
          <t>Solved For</t>
        </is>
      </c>
    </row>
    <row r="4">
      <c r="A4" s="4" t="n">
        <v>12</v>
      </c>
      <c r="B4" s="4" t="n">
        <v>2</v>
      </c>
      <c r="C4" s="5">
        <f>A4/B4</f>
        <v/>
      </c>
      <c r="D4" s="4" t="inlineStr">
        <is>
          <t>R = V/I</t>
        </is>
      </c>
    </row>
    <row r="5">
      <c r="A5" s="5">
        <f>B5*C5</f>
        <v/>
      </c>
      <c r="B5" s="4" t="n">
        <v>0.5</v>
      </c>
      <c r="C5" s="4" t="n">
        <v>100</v>
      </c>
      <c r="D5" s="4" t="inlineStr">
        <is>
          <t>V = I*R</t>
        </is>
      </c>
    </row>
    <row r="6">
      <c r="A6" s="4" t="n">
        <v>24</v>
      </c>
      <c r="B6" s="5">
        <f>A6/C6</f>
        <v/>
      </c>
      <c r="C6" s="4" t="n">
        <v>8</v>
      </c>
      <c r="D6" s="4" t="inlineStr">
        <is>
          <t>I = V/R</t>
        </is>
      </c>
    </row>
    <row r="7">
      <c r="A7" s="4" t="n">
        <v>9</v>
      </c>
      <c r="B7" s="4" t="n">
        <v>3</v>
      </c>
      <c r="C7" s="5">
        <f>A7/B7</f>
        <v/>
      </c>
      <c r="D7" s="4" t="inlineStr">
        <is>
          <t>R = V/I</t>
        </is>
      </c>
    </row>
    <row r="8">
      <c r="A8" s="5">
        <f>B8*C8</f>
        <v/>
      </c>
      <c r="B8" s="4" t="n">
        <v>1.5</v>
      </c>
      <c r="C8" s="4" t="n">
        <v>6</v>
      </c>
      <c r="D8" s="4" t="inlineStr">
        <is>
          <t>V = I*R</t>
        </is>
      </c>
    </row>
    <row r="9">
      <c r="A9" s="4" t="n">
        <v>5</v>
      </c>
      <c r="B9" s="5">
        <f>A9/C9</f>
        <v/>
      </c>
      <c r="C9" s="4" t="n">
        <v>10</v>
      </c>
      <c r="D9" s="4" t="inlineStr">
        <is>
          <t>I = V/R</t>
        </is>
      </c>
    </row>
    <row r="10">
      <c r="A10" s="4" t="n">
        <v>120</v>
      </c>
      <c r="B10" s="4" t="n">
        <v>10</v>
      </c>
      <c r="C10" s="5">
        <f>A10/B10</f>
        <v/>
      </c>
      <c r="D10" s="4" t="inlineStr">
        <is>
          <t>R = V/I</t>
        </is>
      </c>
    </row>
    <row r="11">
      <c r="A11" s="5">
        <f>B11*C11</f>
        <v/>
      </c>
      <c r="B11" s="4" t="n">
        <v>0.2</v>
      </c>
      <c r="C11" s="4" t="n">
        <v>220</v>
      </c>
      <c r="D11" s="4" t="inlineStr">
        <is>
          <t>V = I*R</t>
        </is>
      </c>
    </row>
    <row r="12">
      <c r="A12" s="4" t="n">
        <v>15</v>
      </c>
      <c r="B12" s="5">
        <f>A12/C12</f>
        <v/>
      </c>
      <c r="C12" s="4" t="n">
        <v>3</v>
      </c>
      <c r="D12" s="4" t="inlineStr">
        <is>
          <t>I = V/R</t>
        </is>
      </c>
    </row>
    <row r="13">
      <c r="A13" s="4" t="n">
        <v>6</v>
      </c>
      <c r="B13" s="4" t="n">
        <v>0.25</v>
      </c>
      <c r="C13" s="5">
        <f>A13/B13</f>
        <v/>
      </c>
      <c r="D13" s="4" t="inlineStr">
        <is>
          <t>R = V/I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Component Table (12V)</t>
        </is>
      </c>
    </row>
    <row r="2" ht="18" customHeight="1">
      <c r="A2" s="2" t="inlineStr">
        <is>
          <t>Safety check at 2A limit</t>
        </is>
      </c>
    </row>
    <row r="3" ht="32" customHeight="1">
      <c r="A3" s="3" t="inlineStr">
        <is>
          <t>Component</t>
        </is>
      </c>
      <c r="B3" s="3" t="inlineStr">
        <is>
          <t>R (Ω)</t>
        </is>
      </c>
      <c r="C3" s="3" t="inlineStr">
        <is>
          <t>V (V)</t>
        </is>
      </c>
      <c r="D3" s="3" t="inlineStr">
        <is>
          <t>I (A)</t>
        </is>
      </c>
      <c r="E3" s="3" t="inlineStr">
        <is>
          <t>Status</t>
        </is>
      </c>
    </row>
    <row r="4">
      <c r="A4" s="6" t="inlineStr">
        <is>
          <t>R1</t>
        </is>
      </c>
      <c r="B4" s="6" t="n">
        <v>10</v>
      </c>
      <c r="C4" s="6" t="n">
        <v>12</v>
      </c>
      <c r="D4" s="7">
        <f>C4/B4</f>
        <v/>
      </c>
      <c r="E4" s="8">
        <f>IF(D4&gt;2,"⚠ Overload","✅ Safe")</f>
        <v/>
      </c>
    </row>
    <row r="5">
      <c r="A5" s="6" t="inlineStr">
        <is>
          <t>R2</t>
        </is>
      </c>
      <c r="B5" s="6" t="n">
        <v>5</v>
      </c>
      <c r="C5" s="6" t="n">
        <v>12</v>
      </c>
      <c r="D5" s="7">
        <f>C5/B5</f>
        <v/>
      </c>
      <c r="E5" s="8">
        <f>IF(D5&gt;2,"⚠ Overload","✅ Safe")</f>
        <v/>
      </c>
    </row>
    <row r="6">
      <c r="A6" s="6" t="inlineStr">
        <is>
          <t>R3</t>
        </is>
      </c>
      <c r="B6" s="6" t="n">
        <v>20</v>
      </c>
      <c r="C6" s="6" t="n">
        <v>12</v>
      </c>
      <c r="D6" s="7">
        <f>C6/B6</f>
        <v/>
      </c>
      <c r="E6" s="8">
        <f>IF(D6&gt;2,"⚠ Overload","✅ Safe")</f>
        <v/>
      </c>
    </row>
    <row r="7">
      <c r="A7" s="6" t="inlineStr">
        <is>
          <t>R4</t>
        </is>
      </c>
      <c r="B7" s="6" t="n">
        <v>100</v>
      </c>
      <c r="C7" s="6" t="n">
        <v>12</v>
      </c>
      <c r="D7" s="7">
        <f>C7/B7</f>
        <v/>
      </c>
      <c r="E7" s="8">
        <f>IF(D7&gt;2,"⚠ Overload","✅ Safe")</f>
        <v/>
      </c>
    </row>
    <row r="8">
      <c r="A8" s="6" t="inlineStr">
        <is>
          <t>R5</t>
        </is>
      </c>
      <c r="B8" s="6" t="n">
        <v>50</v>
      </c>
      <c r="C8" s="6" t="n">
        <v>12</v>
      </c>
      <c r="D8" s="7">
        <f>C8/B8</f>
        <v/>
      </c>
      <c r="E8" s="8">
        <f>IF(D8&gt;2,"⚠ Overload","✅ Safe")</f>
        <v/>
      </c>
    </row>
    <row r="9">
      <c r="A9" s="6" t="inlineStr">
        <is>
          <t>R6</t>
        </is>
      </c>
      <c r="B9" s="6" t="n">
        <v>2</v>
      </c>
      <c r="C9" s="6" t="n">
        <v>12</v>
      </c>
      <c r="D9" s="7">
        <f>C9/B9</f>
        <v/>
      </c>
      <c r="E9" s="8">
        <f>IF(D9&gt;2,"⚠ Overload","✅ Safe")</f>
        <v/>
      </c>
    </row>
    <row r="10">
      <c r="A10" s="6" t="inlineStr">
        <is>
          <t>R7</t>
        </is>
      </c>
      <c r="B10" s="6" t="n">
        <v>8</v>
      </c>
      <c r="C10" s="6" t="n">
        <v>12</v>
      </c>
      <c r="D10" s="7">
        <f>C10/B10</f>
        <v/>
      </c>
      <c r="E10" s="8">
        <f>IF(D10&gt;2,"⚠ Overload","✅ Safe")</f>
        <v/>
      </c>
    </row>
    <row r="11">
      <c r="A11" s="6" t="inlineStr">
        <is>
          <t>R8</t>
        </is>
      </c>
      <c r="B11" s="6" t="n">
        <v>60</v>
      </c>
      <c r="C11" s="6" t="n">
        <v>12</v>
      </c>
      <c r="D11" s="7">
        <f>C11/B11</f>
        <v/>
      </c>
      <c r="E11" s="8">
        <f>IF(D11&gt;2,"⚠ Overload","✅ Safe")</f>
        <v/>
      </c>
    </row>
    <row r="12">
      <c r="A12" s="6" t="inlineStr">
        <is>
          <t>R9</t>
        </is>
      </c>
      <c r="B12" s="6" t="n">
        <v>15</v>
      </c>
      <c r="C12" s="6" t="n">
        <v>12</v>
      </c>
      <c r="D12" s="7">
        <f>C12/B12</f>
        <v/>
      </c>
      <c r="E12" s="8">
        <f>IF(D12&gt;2,"⚠ Overload","✅ Safe")</f>
        <v/>
      </c>
    </row>
    <row r="13">
      <c r="A13" s="6" t="inlineStr">
        <is>
          <t>R10</t>
        </is>
      </c>
      <c r="B13" s="6" t="n">
        <v>30</v>
      </c>
      <c r="C13" s="6" t="n">
        <v>12</v>
      </c>
      <c r="D13" s="7">
        <f>C13/B13</f>
        <v/>
      </c>
      <c r="E13" s="8">
        <f>IF(D13&gt;2,"⚠ Overload","✅ Safe")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V vs. I for three resistors</t>
        </is>
      </c>
    </row>
    <row r="2" ht="18" customHeight="1">
      <c r="A2" s="2" t="inlineStr">
        <is>
          <t>R = 10Ω, 50Ω, 100Ω</t>
        </is>
      </c>
    </row>
    <row r="3" ht="32" customHeight="1">
      <c r="A3" s="3" t="inlineStr">
        <is>
          <t>V (V)</t>
        </is>
      </c>
      <c r="B3" s="3" t="inlineStr">
        <is>
          <t>I @ 10Ω</t>
        </is>
      </c>
      <c r="C3" s="3" t="inlineStr">
        <is>
          <t>I @ 50Ω</t>
        </is>
      </c>
      <c r="D3" s="3" t="inlineStr">
        <is>
          <t>I @ 100Ω</t>
        </is>
      </c>
    </row>
    <row r="4">
      <c r="A4" s="9" t="n">
        <v>0</v>
      </c>
      <c r="B4" s="7">
        <f>A4/10</f>
        <v/>
      </c>
      <c r="C4" s="7">
        <f>A4/50</f>
        <v/>
      </c>
      <c r="D4" s="7">
        <f>A4/100</f>
        <v/>
      </c>
    </row>
    <row r="5">
      <c r="A5" s="9" t="n">
        <v>2</v>
      </c>
      <c r="B5" s="7">
        <f>A5/10</f>
        <v/>
      </c>
      <c r="C5" s="7">
        <f>A5/50</f>
        <v/>
      </c>
      <c r="D5" s="7">
        <f>A5/100</f>
        <v/>
      </c>
    </row>
    <row r="6">
      <c r="A6" s="9" t="n">
        <v>4</v>
      </c>
      <c r="B6" s="7">
        <f>A6/10</f>
        <v/>
      </c>
      <c r="C6" s="7">
        <f>A6/50</f>
        <v/>
      </c>
      <c r="D6" s="7">
        <f>A6/100</f>
        <v/>
      </c>
    </row>
    <row r="7">
      <c r="A7" s="9" t="n">
        <v>6</v>
      </c>
      <c r="B7" s="7">
        <f>A7/10</f>
        <v/>
      </c>
      <c r="C7" s="7">
        <f>A7/50</f>
        <v/>
      </c>
      <c r="D7" s="7">
        <f>A7/100</f>
        <v/>
      </c>
    </row>
    <row r="8">
      <c r="A8" s="9" t="n">
        <v>8</v>
      </c>
      <c r="B8" s="7">
        <f>A8/10</f>
        <v/>
      </c>
      <c r="C8" s="7">
        <f>A8/50</f>
        <v/>
      </c>
      <c r="D8" s="7">
        <f>A8/100</f>
        <v/>
      </c>
    </row>
    <row r="9">
      <c r="A9" s="9" t="n">
        <v>10</v>
      </c>
      <c r="B9" s="7">
        <f>A9/10</f>
        <v/>
      </c>
      <c r="C9" s="7">
        <f>A9/50</f>
        <v/>
      </c>
      <c r="D9" s="7">
        <f>A9/100</f>
        <v/>
      </c>
    </row>
    <row r="10">
      <c r="A10" s="9" t="n">
        <v>12</v>
      </c>
      <c r="B10" s="7">
        <f>A10/10</f>
        <v/>
      </c>
      <c r="C10" s="7">
        <f>A10/50</f>
        <v/>
      </c>
      <c r="D10" s="7">
        <f>A10/100</f>
        <v/>
      </c>
    </row>
    <row r="11">
      <c r="A11" s="9" t="n">
        <v>14</v>
      </c>
      <c r="B11" s="7">
        <f>A11/10</f>
        <v/>
      </c>
      <c r="C11" s="7">
        <f>A11/50</f>
        <v/>
      </c>
      <c r="D11" s="7">
        <f>A11/100</f>
        <v/>
      </c>
    </row>
    <row r="12">
      <c r="A12" s="9" t="n">
        <v>16</v>
      </c>
      <c r="B12" s="7">
        <f>A12/10</f>
        <v/>
      </c>
      <c r="C12" s="7">
        <f>A12/50</f>
        <v/>
      </c>
      <c r="D12" s="7">
        <f>A12/100</f>
        <v/>
      </c>
    </row>
    <row r="13">
      <c r="A13" s="9" t="n">
        <v>18</v>
      </c>
      <c r="B13" s="7">
        <f>A13/10</f>
        <v/>
      </c>
      <c r="C13" s="7">
        <f>A13/50</f>
        <v/>
      </c>
      <c r="D13" s="7">
        <f>A13/100</f>
        <v/>
      </c>
    </row>
    <row r="14">
      <c r="A14" s="9" t="n">
        <v>20</v>
      </c>
      <c r="B14" s="7">
        <f>A14/10</f>
        <v/>
      </c>
      <c r="C14" s="7">
        <f>A14/50</f>
        <v/>
      </c>
      <c r="D14" s="7">
        <f>A14/100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2026-04-21T19:25:54Z</dcterms:created>
  <dcterms:modified xmlns:dcterms="http://purl.org/dc/terms/" xmlns:xsi="http://www.w3.org/2001/XMLSchema-instance" xsi:type="dcterms:W3CDTF">2026-04-21T19:25:54Z</dcterms:modified>
</cp:coreProperties>
</file>