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Proportions" sheetId="1" state="visible" r:id="rId1"/>
    <sheet xmlns:r="http://schemas.openxmlformats.org/officeDocument/2006/relationships" name="Richness &amp; Evenness" sheetId="2" state="visible" r:id="rId2"/>
    <sheet xmlns:r="http://schemas.openxmlformats.org/officeDocument/2006/relationships" name="Invasive Impact" sheetId="3" state="visible" r:id="rId3"/>
    <sheet xmlns:r="http://schemas.openxmlformats.org/officeDocument/2006/relationships" name="Resto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 ht="26" customHeight="1">
      <c r="A1" s="1" t="inlineStr">
        <is>
          <t>Species Proportions Calculator</t>
        </is>
      </c>
    </row>
    <row r="2" ht="18" customHeight="1">
      <c r="A2" s="2" t="inlineStr">
        <is>
          <t>Native Hawaiian forest sample</t>
        </is>
      </c>
    </row>
    <row r="3" ht="32" customHeight="1">
      <c r="A3" s="3" t="inlineStr">
        <is>
          <t>Species</t>
        </is>
      </c>
      <c r="B3" s="3" t="inlineStr">
        <is>
          <t>Count</t>
        </is>
      </c>
      <c r="C3" s="3" t="inlineStr">
        <is>
          <t>Total</t>
        </is>
      </c>
      <c r="D3" s="3" t="inlineStr">
        <is>
          <t>Proportion</t>
        </is>
      </c>
      <c r="E3" s="3" t="inlineStr">
        <is>
          <t>Percent</t>
        </is>
      </c>
      <c r="F3" s="3" t="inlineStr">
        <is>
          <t>Rank</t>
        </is>
      </c>
    </row>
    <row r="4">
      <c r="A4" s="4" t="inlineStr">
        <is>
          <t>Iiwi</t>
        </is>
      </c>
      <c r="B4" s="4" t="n">
        <v>45</v>
      </c>
      <c r="C4" s="5">
        <f>SUM(B$4:B$13)</f>
        <v/>
      </c>
      <c r="D4" s="6">
        <f>B4/C4</f>
        <v/>
      </c>
      <c r="E4" s="7">
        <f>D4*100</f>
        <v/>
      </c>
      <c r="F4" s="5">
        <f>RANK(B4,B$4:B$13)</f>
        <v/>
      </c>
    </row>
    <row r="5">
      <c r="A5" s="4" t="inlineStr">
        <is>
          <t>Apapane</t>
        </is>
      </c>
      <c r="B5" s="4" t="n">
        <v>62</v>
      </c>
      <c r="C5" s="5">
        <f>SUM(B$4:B$13)</f>
        <v/>
      </c>
      <c r="D5" s="6">
        <f>B5/C5</f>
        <v/>
      </c>
      <c r="E5" s="7">
        <f>D5*100</f>
        <v/>
      </c>
      <c r="F5" s="5">
        <f>RANK(B5,B$4:B$13)</f>
        <v/>
      </c>
    </row>
    <row r="6">
      <c r="A6" s="4" t="inlineStr">
        <is>
          <t>Amakihi</t>
        </is>
      </c>
      <c r="B6" s="4" t="n">
        <v>88</v>
      </c>
      <c r="C6" s="5">
        <f>SUM(B$4:B$13)</f>
        <v/>
      </c>
      <c r="D6" s="6">
        <f>B6/C6</f>
        <v/>
      </c>
      <c r="E6" s="7">
        <f>D6*100</f>
        <v/>
      </c>
      <c r="F6" s="5">
        <f>RANK(B6,B$4:B$13)</f>
        <v/>
      </c>
    </row>
    <row r="7">
      <c r="A7" s="4" t="inlineStr">
        <is>
          <t>Elepaio</t>
        </is>
      </c>
      <c r="B7" s="4" t="n">
        <v>21</v>
      </c>
      <c r="C7" s="5">
        <f>SUM(B$4:B$13)</f>
        <v/>
      </c>
      <c r="D7" s="6">
        <f>B7/C7</f>
        <v/>
      </c>
      <c r="E7" s="7">
        <f>D7*100</f>
        <v/>
      </c>
      <c r="F7" s="5">
        <f>RANK(B7,B$4:B$13)</f>
        <v/>
      </c>
    </row>
    <row r="8">
      <c r="A8" s="4" t="inlineStr">
        <is>
          <t>Omao</t>
        </is>
      </c>
      <c r="B8" s="4" t="n">
        <v>15</v>
      </c>
      <c r="C8" s="5">
        <f>SUM(B$4:B$13)</f>
        <v/>
      </c>
      <c r="D8" s="6">
        <f>B8/C8</f>
        <v/>
      </c>
      <c r="E8" s="7">
        <f>D8*100</f>
        <v/>
      </c>
      <c r="F8" s="5">
        <f>RANK(B8,B$4:B$13)</f>
        <v/>
      </c>
    </row>
    <row r="9">
      <c r="A9" s="4" t="inlineStr">
        <is>
          <t>Puaiohi</t>
        </is>
      </c>
      <c r="B9" s="4" t="n">
        <v>8</v>
      </c>
      <c r="C9" s="5">
        <f>SUM(B$4:B$13)</f>
        <v/>
      </c>
      <c r="D9" s="6">
        <f>B9/C9</f>
        <v/>
      </c>
      <c r="E9" s="7">
        <f>D9*100</f>
        <v/>
      </c>
      <c r="F9" s="5">
        <f>RANK(B9,B$4:B$13)</f>
        <v/>
      </c>
    </row>
    <row r="10">
      <c r="A10" s="4" t="inlineStr">
        <is>
          <t>Kiwikiu</t>
        </is>
      </c>
      <c r="B10" s="4" t="n">
        <v>3</v>
      </c>
      <c r="C10" s="5">
        <f>SUM(B$4:B$13)</f>
        <v/>
      </c>
      <c r="D10" s="6">
        <f>B10/C10</f>
        <v/>
      </c>
      <c r="E10" s="7">
        <f>D10*100</f>
        <v/>
      </c>
      <c r="F10" s="5">
        <f>RANK(B10,B$4:B$13)</f>
        <v/>
      </c>
    </row>
    <row r="11">
      <c r="A11" s="4" t="inlineStr">
        <is>
          <t>Palila</t>
        </is>
      </c>
      <c r="B11" s="4" t="n">
        <v>2</v>
      </c>
      <c r="C11" s="5">
        <f>SUM(B$4:B$13)</f>
        <v/>
      </c>
      <c r="D11" s="6">
        <f>B11/C11</f>
        <v/>
      </c>
      <c r="E11" s="7">
        <f>D11*100</f>
        <v/>
      </c>
      <c r="F11" s="5">
        <f>RANK(B11,B$4:B$13)</f>
        <v/>
      </c>
    </row>
    <row r="12">
      <c r="A12" s="4" t="inlineStr">
        <is>
          <t>Nene Goose</t>
        </is>
      </c>
      <c r="B12" s="4" t="n">
        <v>18</v>
      </c>
      <c r="C12" s="5">
        <f>SUM(B$4:B$13)</f>
        <v/>
      </c>
      <c r="D12" s="6">
        <f>B12/C12</f>
        <v/>
      </c>
      <c r="E12" s="7">
        <f>D12*100</f>
        <v/>
      </c>
      <c r="F12" s="5">
        <f>RANK(B12,B$4:B$13)</f>
        <v/>
      </c>
    </row>
    <row r="13">
      <c r="A13" s="4" t="inlineStr">
        <is>
          <t>Hawaiian Hawk</t>
        </is>
      </c>
      <c r="B13" s="4" t="n">
        <v>12</v>
      </c>
      <c r="C13" s="5">
        <f>SUM(B$4:B$13)</f>
        <v/>
      </c>
      <c r="D13" s="6">
        <f>B13/C13</f>
        <v/>
      </c>
      <c r="E13" s="7">
        <f>D13*100</f>
        <v/>
      </c>
      <c r="F13" s="5">
        <f>RANK(B13,B$4:B$13)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Richness &amp; Evenness Metrics</t>
        </is>
      </c>
    </row>
    <row r="2" ht="18" customHeight="1">
      <c r="A2" s="2" t="inlineStr">
        <is>
          <t>Ecosystem comparison</t>
        </is>
      </c>
    </row>
    <row r="3" ht="32" customHeight="1">
      <c r="A3" s="3" t="inlineStr">
        <is>
          <t>Ecosystem</t>
        </is>
      </c>
      <c r="B3" s="3" t="inlineStr">
        <is>
          <t>Richness (S)</t>
        </is>
      </c>
      <c r="C3" s="3" t="inlineStr">
        <is>
          <t>Total (N)</t>
        </is>
      </c>
      <c r="D3" s="3" t="inlineStr">
        <is>
          <t>Dominant count</t>
        </is>
      </c>
      <c r="E3" s="3" t="inlineStr">
        <is>
          <t>Dominance = Dom/N</t>
        </is>
      </c>
    </row>
    <row r="4">
      <c r="A4" s="4" t="inlineStr">
        <is>
          <t>Native Forest</t>
        </is>
      </c>
      <c r="B4" s="4" t="n">
        <v>12</v>
      </c>
      <c r="C4" s="4" t="n">
        <v>285</v>
      </c>
      <c r="D4" s="4" t="n">
        <v>88</v>
      </c>
      <c r="E4" s="6">
        <f>D4/C4</f>
        <v/>
      </c>
    </row>
    <row r="5">
      <c r="A5" s="4" t="inlineStr">
        <is>
          <t>Invaded Area</t>
        </is>
      </c>
      <c r="B5" s="4" t="n">
        <v>5</v>
      </c>
      <c r="C5" s="4" t="n">
        <v>280</v>
      </c>
      <c r="D5" s="4" t="n">
        <v>210</v>
      </c>
      <c r="E5" s="6">
        <f>D5/C5</f>
        <v/>
      </c>
    </row>
    <row r="6">
      <c r="A6" s="4" t="inlineStr">
        <is>
          <t>Coastal Wetland</t>
        </is>
      </c>
      <c r="B6" s="4" t="n">
        <v>18</v>
      </c>
      <c r="C6" s="4" t="n">
        <v>150</v>
      </c>
      <c r="D6" s="4" t="n">
        <v>32</v>
      </c>
      <c r="E6" s="6">
        <f>D6/C6</f>
        <v/>
      </c>
    </row>
    <row r="7">
      <c r="A7" s="4" t="inlineStr">
        <is>
          <t>Mountain Bog</t>
        </is>
      </c>
      <c r="B7" s="4" t="n">
        <v>8</v>
      </c>
      <c r="C7" s="4" t="n">
        <v>95</v>
      </c>
      <c r="D7" s="4" t="n">
        <v>48</v>
      </c>
      <c r="E7" s="6">
        <f>D7/C7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Invasive Species Impact Tracker</t>
        </is>
      </c>
    </row>
    <row r="2" ht="18" customHeight="1">
      <c r="A2" s="2" t="inlineStr">
        <is>
          <t>10-year proportions</t>
        </is>
      </c>
    </row>
    <row r="3" ht="32" customHeight="1">
      <c r="A3" s="3" t="inlineStr">
        <is>
          <t>Year</t>
        </is>
      </c>
      <c r="B3" s="3" t="inlineStr">
        <is>
          <t>Native Proportion</t>
        </is>
      </c>
      <c r="C3" s="3" t="inlineStr">
        <is>
          <t>Invasive Proportion</t>
        </is>
      </c>
    </row>
    <row r="4">
      <c r="A4" s="8" t="n">
        <v>2015</v>
      </c>
      <c r="B4" s="9" t="n">
        <v>0.85</v>
      </c>
      <c r="C4" s="10">
        <f>1-B4</f>
        <v/>
      </c>
    </row>
    <row r="5">
      <c r="A5" s="8" t="n">
        <v>2016</v>
      </c>
      <c r="B5" s="9" t="n">
        <v>0.79</v>
      </c>
      <c r="C5" s="10">
        <f>1-B5</f>
        <v/>
      </c>
    </row>
    <row r="6">
      <c r="A6" s="8" t="n">
        <v>2017</v>
      </c>
      <c r="B6" s="9" t="n">
        <v>0.73</v>
      </c>
      <c r="C6" s="10">
        <f>1-B6</f>
        <v/>
      </c>
    </row>
    <row r="7">
      <c r="A7" s="8" t="n">
        <v>2018</v>
      </c>
      <c r="B7" s="9" t="n">
        <v>0.67</v>
      </c>
      <c r="C7" s="10">
        <f>1-B7</f>
        <v/>
      </c>
    </row>
    <row r="8">
      <c r="A8" s="8" t="n">
        <v>2019</v>
      </c>
      <c r="B8" s="9" t="n">
        <v>0.61</v>
      </c>
      <c r="C8" s="10">
        <f>1-B8</f>
        <v/>
      </c>
    </row>
    <row r="9">
      <c r="A9" s="8" t="n">
        <v>2020</v>
      </c>
      <c r="B9" s="9" t="n">
        <v>0.55</v>
      </c>
      <c r="C9" s="10">
        <f>1-B9</f>
        <v/>
      </c>
    </row>
    <row r="10">
      <c r="A10" s="8" t="n">
        <v>2021</v>
      </c>
      <c r="B10" s="9" t="n">
        <v>0.49</v>
      </c>
      <c r="C10" s="10">
        <f>1-B10</f>
        <v/>
      </c>
    </row>
    <row r="11">
      <c r="A11" s="8" t="n">
        <v>2022</v>
      </c>
      <c r="B11" s="9" t="n">
        <v>0.43</v>
      </c>
      <c r="C11" s="10">
        <f>1-B11</f>
        <v/>
      </c>
    </row>
    <row r="12">
      <c r="A12" s="8" t="n">
        <v>2023</v>
      </c>
      <c r="B12" s="9" t="n">
        <v>0.37</v>
      </c>
      <c r="C12" s="10">
        <f>1-B12</f>
        <v/>
      </c>
    </row>
    <row r="13">
      <c r="A13" s="8" t="n">
        <v>2024</v>
      </c>
      <c r="B13" s="9" t="n">
        <v>0.31</v>
      </c>
      <c r="C13" s="10">
        <f>1-B13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Restoration Projection</t>
        </is>
      </c>
    </row>
    <row r="2" ht="18" customHeight="1">
      <c r="A2" s="2" t="inlineStr">
        <is>
          <t>Years to recovery</t>
        </is>
      </c>
    </row>
    <row r="3" ht="32" customHeight="1">
      <c r="A3" s="3" t="inlineStr">
        <is>
          <t>Year</t>
        </is>
      </c>
      <c r="B3" s="3" t="inlineStr">
        <is>
          <t>Native Proportion</t>
        </is>
      </c>
      <c r="C3" s="3" t="inlineStr">
        <is>
          <t>Milestone</t>
        </is>
      </c>
    </row>
    <row r="4">
      <c r="A4" s="8" t="n">
        <v>0</v>
      </c>
      <c r="B4" s="10">
        <f>MIN(0.85,0.15+0.05*A4)</f>
        <v/>
      </c>
      <c r="C4" s="11">
        <f>IF(B4&gt;=0.75,"✅ Restored",IF(B4&gt;=0.5,"🌱 Progress","⚠ Early"))</f>
        <v/>
      </c>
    </row>
    <row r="5">
      <c r="A5" s="8" t="n">
        <v>1</v>
      </c>
      <c r="B5" s="10">
        <f>MIN(0.85,0.15+0.05*A5)</f>
        <v/>
      </c>
      <c r="C5" s="11">
        <f>IF(B5&gt;=0.75,"✅ Restored",IF(B5&gt;=0.5,"🌱 Progress","⚠ Early"))</f>
        <v/>
      </c>
    </row>
    <row r="6">
      <c r="A6" s="8" t="n">
        <v>2</v>
      </c>
      <c r="B6" s="10">
        <f>MIN(0.85,0.15+0.05*A6)</f>
        <v/>
      </c>
      <c r="C6" s="11">
        <f>IF(B6&gt;=0.75,"✅ Restored",IF(B6&gt;=0.5,"🌱 Progress","⚠ Early"))</f>
        <v/>
      </c>
    </row>
    <row r="7">
      <c r="A7" s="8" t="n">
        <v>3</v>
      </c>
      <c r="B7" s="10">
        <f>MIN(0.85,0.15+0.05*A7)</f>
        <v/>
      </c>
      <c r="C7" s="11">
        <f>IF(B7&gt;=0.75,"✅ Restored",IF(B7&gt;=0.5,"🌱 Progress","⚠ Early"))</f>
        <v/>
      </c>
    </row>
    <row r="8">
      <c r="A8" s="8" t="n">
        <v>4</v>
      </c>
      <c r="B8" s="10">
        <f>MIN(0.85,0.15+0.05*A8)</f>
        <v/>
      </c>
      <c r="C8" s="11">
        <f>IF(B8&gt;=0.75,"✅ Restored",IF(B8&gt;=0.5,"🌱 Progress","⚠ Early"))</f>
        <v/>
      </c>
    </row>
    <row r="9">
      <c r="A9" s="8" t="n">
        <v>5</v>
      </c>
      <c r="B9" s="10">
        <f>MIN(0.85,0.15+0.05*A9)</f>
        <v/>
      </c>
      <c r="C9" s="11">
        <f>IF(B9&gt;=0.75,"✅ Restored",IF(B9&gt;=0.5,"🌱 Progress","⚠ Early"))</f>
        <v/>
      </c>
    </row>
    <row r="10">
      <c r="A10" s="8" t="n">
        <v>6</v>
      </c>
      <c r="B10" s="10">
        <f>MIN(0.85,0.15+0.05*A10)</f>
        <v/>
      </c>
      <c r="C10" s="11">
        <f>IF(B10&gt;=0.75,"✅ Restored",IF(B10&gt;=0.5,"🌱 Progress","⚠ Early"))</f>
        <v/>
      </c>
    </row>
    <row r="11">
      <c r="A11" s="8" t="n">
        <v>7</v>
      </c>
      <c r="B11" s="10">
        <f>MIN(0.85,0.15+0.05*A11)</f>
        <v/>
      </c>
      <c r="C11" s="11">
        <f>IF(B11&gt;=0.75,"✅ Restored",IF(B11&gt;=0.5,"🌱 Progress","⚠ Early"))</f>
        <v/>
      </c>
    </row>
    <row r="12">
      <c r="A12" s="8" t="n">
        <v>8</v>
      </c>
      <c r="B12" s="10">
        <f>MIN(0.85,0.15+0.05*A12)</f>
        <v/>
      </c>
      <c r="C12" s="11">
        <f>IF(B12&gt;=0.75,"✅ Restored",IF(B12&gt;=0.5,"🌱 Progress","⚠ Early"))</f>
        <v/>
      </c>
    </row>
    <row r="13">
      <c r="A13" s="8" t="n">
        <v>9</v>
      </c>
      <c r="B13" s="10">
        <f>MIN(0.85,0.15+0.05*A13)</f>
        <v/>
      </c>
      <c r="C13" s="11">
        <f>IF(B13&gt;=0.75,"✅ Restored",IF(B13&gt;=0.5,"🌱 Progress","⚠ Early"))</f>
        <v/>
      </c>
    </row>
    <row r="14">
      <c r="A14" s="8" t="n">
        <v>10</v>
      </c>
      <c r="B14" s="10">
        <f>MIN(0.85,0.15+0.05*A14)</f>
        <v/>
      </c>
      <c r="C14" s="11">
        <f>IF(B14&gt;=0.75,"✅ Restored",IF(B14&gt;=0.5,"🌱 Progress","⚠ Early"))</f>
        <v/>
      </c>
    </row>
    <row r="15">
      <c r="A15" s="8" t="n">
        <v>11</v>
      </c>
      <c r="B15" s="10">
        <f>MIN(0.85,0.15+0.05*A15)</f>
        <v/>
      </c>
      <c r="C15" s="11">
        <f>IF(B15&gt;=0.75,"✅ Restored",IF(B15&gt;=0.5,"🌱 Progress","⚠ Early"))</f>
        <v/>
      </c>
    </row>
    <row r="16">
      <c r="A16" s="8" t="n">
        <v>12</v>
      </c>
      <c r="B16" s="10">
        <f>MIN(0.85,0.15+0.05*A16)</f>
        <v/>
      </c>
      <c r="C16" s="11">
        <f>IF(B16&gt;=0.75,"✅ Restored",IF(B16&gt;=0.5,"🌱 Progress","⚠ Early"))</f>
        <v/>
      </c>
    </row>
    <row r="17">
      <c r="A17" s="8" t="n">
        <v>13</v>
      </c>
      <c r="B17" s="10">
        <f>MIN(0.85,0.15+0.05*A17)</f>
        <v/>
      </c>
      <c r="C17" s="11">
        <f>IF(B17&gt;=0.75,"✅ Restored",IF(B17&gt;=0.5,"🌱 Progress","⚠ Early"))</f>
        <v/>
      </c>
    </row>
    <row r="18">
      <c r="A18" s="8" t="n">
        <v>14</v>
      </c>
      <c r="B18" s="10">
        <f>MIN(0.85,0.15+0.05*A18)</f>
        <v/>
      </c>
      <c r="C18" s="11">
        <f>IF(B18&gt;=0.75,"✅ Restored",IF(B18&gt;=0.5,"🌱 Progress","⚠ Early"))</f>
        <v/>
      </c>
    </row>
    <row r="19">
      <c r="A19" s="8" t="n">
        <v>15</v>
      </c>
      <c r="B19" s="10">
        <f>MIN(0.85,0.15+0.05*A19)</f>
        <v/>
      </c>
      <c r="C19" s="11">
        <f>IF(B19&gt;=0.75,"✅ Restored",IF(B19&gt;=0.5,"🌱 Progress","⚠ Early"))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