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bitat_Are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<sst xmlns="http://schemas.openxmlformats.org/spreadsheetml/2006/main" count="22" uniqueCount="19">
  <si>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Hawaii Habitat Area — Answer Key</t>
  </si>
  <si>
    <t xml:space="preserve">O'ahu land zones (~600 sq miles total)</t>
  </si>
  <si>
    <t xml:space="preserve">Zone</t>
  </si>
  <si>
    <t xml:space="preserve">Shape</t>
  </si>
  <si>
    <t xml:space="preserve">Width (mi)</t>
  </si>
  <si>
    <t xml:space="preserve">Length (mi)</t>
  </si>
  <si>
    <t xml:space="preserve">Area (sq mi)</t>
  </si>
  <si>
    <t xml:space="preserve">% of Total</t>
  </si>
  <si>
    <t xml:space="preserve">Native Forest</t>
  </si>
  <si>
    <t xml:space="preserve">Rectangle</t>
  </si>
  <si>
    <t xml:space="preserve">Urban</t>
  </si>
  <si>
    <t xml:space="preserve">Agricultural</t>
  </si>
  <si>
    <t xml:space="preserve">Beach/Coast</t>
  </si>
  <si>
    <t xml:space="preserve">Triangle</t>
  </si>
  <si>
    <t xml:space="preserve">Other</t>
  </si>
  <si>
    <t xml:space="preserve">Total</t>
  </si>
  <si>
    <t xml:space="preserve">Native forest ≈ 60 sq mi today. Historically ~600 sq mi → ~90% decrease.</t>
  </si>
  <si>
    <t xml:space="preserve">If forest width doubles (same length), area doubles (linear in each dimension).</t>
  </si>
  <si>
    <t xml:space="preserve">Coastal triangle with base 5 mi and height 3 mi: ½·5·3 = 7.5 sq mi.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</si>
</sst>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  <fill>
      <patternFill patternType="solid">
        <fgColor rgb="FFE8EE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E8EE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O'ahu Land 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Habitat_Area!E3</c:f>
              <c:strCache>
                <c:ptCount val="1"/>
                <c:pt idx="0">
                  <c:v>Area (sq mi)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0.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0.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Habitat_Area!$A$4:$A$8</c:f>
              <c:strCache>
                <c:ptCount val="5"/>
                <c:pt idx="0">
                  <c:v>Native Forest</c:v>
                </c:pt>
                <c:pt idx="1">
                  <c:v>Urban</c:v>
                </c:pt>
                <c:pt idx="2">
                  <c:v>Agricultural</c:v>
                </c:pt>
                <c:pt idx="3">
                  <c:v>Beach/Coast</c:v>
                </c:pt>
                <c:pt idx="4">
                  <c:v>Other</c:v>
                </c:pt>
              </c:strCache>
            </c:strRef>
          </c:cat>
          <c:val>
            <c:numRef>
              <c:f>Habitat_Area!$E$4:$E$8</c:f>
              <c:numCache>
                <c:formatCode>0.0</c:formatCode>
                <c:ptCount val="5"/>
                <c:pt idx="0">
                  <c:v>60</c:v>
                </c:pt>
                <c:pt idx="1">
                  <c:v>270</c:v>
                </c:pt>
                <c:pt idx="2">
                  <c:v>120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14</xdr:col>
      <xdr:colOff>38520</xdr:colOff>
      <xdr:row>17</xdr:row>
      <xdr:rowOff>172080</xdr:rowOff>
    </xdr:to>
    <xdr:graphicFrame>
      <xdr:nvGraphicFramePr>
        <xdr:cNvPr id="1" name="Chart 1"/>
        <xdr:cNvGraphicFramePr/>
      </xdr:nvGraphicFramePr>
      <xdr:xfrm>
        <a:off x="6955200" y="552600"/>
        <a:ext cx="431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" t="s">
        <v>8</v>
      </c>
      <c r="B4" s="6" t="s">
        <v>9</v>
      </c>
      <c r="C4" s="6" t="n">
        <v>12</v>
      </c>
      <c r="D4" s="6" t="n">
        <v>5</v>
      </c>
      <c r="E4" s="7" t="n">
        <f aca="false">IF(B4="Triangle",0.5*C4*D4,C4*D4)</f>
        <v>60</v>
      </c>
      <c r="F4" s="8" t="n">
        <f aca="false">E4/SUM(E$4:E$8)*100</f>
        <v>10</v>
      </c>
    </row>
    <row r="5" customFormat="false" ht="15" hidden="false" customHeight="false" outlineLevel="0" collapsed="false">
      <c r="A5" s="5" t="s">
        <v>10</v>
      </c>
      <c r="B5" s="6" t="s">
        <v>9</v>
      </c>
      <c r="C5" s="6" t="n">
        <v>18</v>
      </c>
      <c r="D5" s="6" t="n">
        <v>15</v>
      </c>
      <c r="E5" s="7" t="n">
        <f aca="false">IF(B5="Triangle",0.5*C5*D5,C5*D5)</f>
        <v>270</v>
      </c>
      <c r="F5" s="8" t="n">
        <f aca="false">E5/SUM(E$4:E$8)*100</f>
        <v>45</v>
      </c>
    </row>
    <row r="6" customFormat="false" ht="15" hidden="false" customHeight="false" outlineLevel="0" collapsed="false">
      <c r="A6" s="5" t="s">
        <v>11</v>
      </c>
      <c r="B6" s="6" t="s">
        <v>9</v>
      </c>
      <c r="C6" s="6" t="n">
        <v>20</v>
      </c>
      <c r="D6" s="6" t="n">
        <v>6</v>
      </c>
      <c r="E6" s="7" t="n">
        <f aca="false">IF(B6="Triangle",0.5*C6*D6,C6*D6)</f>
        <v>120</v>
      </c>
      <c r="F6" s="8" t="n">
        <f aca="false">E6/SUM(E$4:E$8)*100</f>
        <v>20</v>
      </c>
    </row>
    <row r="7" customFormat="false" ht="15" hidden="false" customHeight="false" outlineLevel="0" collapsed="false">
      <c r="A7" s="5" t="s">
        <v>12</v>
      </c>
      <c r="B7" s="6" t="s">
        <v>13</v>
      </c>
      <c r="C7" s="6" t="n">
        <v>20</v>
      </c>
      <c r="D7" s="6" t="n">
        <v>8</v>
      </c>
      <c r="E7" s="7" t="n">
        <f aca="false">IF(B7="Triangle",0.5*C7*D7,C7*D7)</f>
        <v>80</v>
      </c>
      <c r="F7" s="8" t="n">
        <f aca="false">E7/SUM(E$4:E$8)*100</f>
        <v>13.3333333333333</v>
      </c>
    </row>
    <row r="8" customFormat="false" ht="15" hidden="false" customHeight="false" outlineLevel="0" collapsed="false">
      <c r="A8" s="5" t="s">
        <v>14</v>
      </c>
      <c r="B8" s="6" t="s">
        <v>9</v>
      </c>
      <c r="C8" s="6" t="n">
        <v>14</v>
      </c>
      <c r="D8" s="6" t="n">
        <v>5</v>
      </c>
      <c r="E8" s="7" t="n">
        <f aca="false">IF(B8="Triangle",0.5*C8*D8,C8*D8)</f>
        <v>70</v>
      </c>
      <c r="F8" s="8" t="n">
        <f aca="false">E8/SUM(E$4:E$8)*100</f>
        <v>11.6666666666667</v>
      </c>
    </row>
    <row r="9" customFormat="false" ht="15" hidden="false" customHeight="false" outlineLevel="0" collapsed="false">
      <c r="A9" s="9" t="s">
        <v>15</v>
      </c>
      <c r="B9" s="9"/>
      <c r="C9" s="9"/>
      <c r="D9" s="9"/>
      <c r="E9" s="10" t="n">
        <f aca="false">SUM(E4:E8)</f>
        <v>600</v>
      </c>
      <c r="F9" s="11" t="n">
        <f aca="false">SUM(F4:F8)</f>
        <v>100</v>
      </c>
    </row>
    <row r="20" customFormat="false" ht="15" hidden="false" customHeight="false" outlineLevel="0" collapsed="false">
      <c r="H20" s="12" t="s">
        <v>16</v>
      </c>
    </row>
    <row r="21" customFormat="false" ht="15" hidden="false" customHeight="false" outlineLevel="0" collapsed="false">
      <c r="H21" s="12" t="s">
        <v>17</v>
      </c>
    </row>
    <row r="22" customFormat="false" ht="15" hidden="false" customHeight="false" outlineLevel="0" collapsed="false">
      <c r="H22" s="12" t="s">
        <v>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2026-04-21T18:54:19Z</dcterms:created>
  <dc:creator>openpyxl</dc:creator>
  <dc:description/>
  <dc:language>en-US</dc:language>
  <cp:lastModifiedBy/>
  <dcterms:modified xsi:type="dcterms:W3CDTF">2026-04-21T19:02:06Z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