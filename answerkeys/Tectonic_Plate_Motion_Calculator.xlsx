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_Speeds" sheetId="1" state="visible" r:id="rId3"/>
    <sheet name="Distance_Calc" sheetId="2" state="visible" r:id="rId4"/>
    <sheet name="Atlantic_Age" sheetId="3" state="visible" r:id="rId5"/>
    <sheet name="India_Journey" sheetId="4" state="visible" r:id="rId6"/>
    <sheet name="Future_Pange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<sst xmlns="http://schemas.openxmlformats.org/spreadsheetml/2006/main" count="87" uniqueCount="53">
  <si>
    <t xml:space="preserve">Tectonic Plate Speed Reference</t>
  </si>
  <si>
    <t xml:space="preserve">Real average speeds and boundary types</t>
  </si>
  <si>
    <t xml:space="preserve">Plate</t>
  </si>
  <si>
    <t xml:space="preserve">Speed (cm/yr)</t>
  </si>
  <si>
    <t xml:space="preserve">Boundary Type</t>
  </si>
  <si>
    <t xml:space="preserve">Speed (mm/yr) =B×10</t>
  </si>
  <si>
    <t xml:space="preserve">Speed (m/1000yr) =B×10</t>
  </si>
  <si>
    <t xml:space="preserve">Pacific</t>
  </si>
  <si>
    <t xml:space="preserve">mostly convergent</t>
  </si>
  <si>
    <t xml:space="preserve">Australian</t>
  </si>
  <si>
    <t xml:space="preserve">convergent/divergent</t>
  </si>
  <si>
    <t xml:space="preserve">Nazca</t>
  </si>
  <si>
    <t xml:space="preserve">convergent</t>
  </si>
  <si>
    <t xml:space="preserve">African</t>
  </si>
  <si>
    <t xml:space="preserve">divergent (Mid-Atlantic)</t>
  </si>
  <si>
    <t xml:space="preserve">North American</t>
  </si>
  <si>
    <t xml:space="preserve">transform/divergent</t>
  </si>
  <si>
    <t xml:space="preserve">Eurasian</t>
  </si>
  <si>
    <t xml:space="preserve">Caribbean</t>
  </si>
  <si>
    <t xml:space="preserve">transform</t>
  </si>
  <si>
    <t xml:space="preserve">Antarctic</t>
  </si>
  <si>
    <t xml:space="preserve">divergent</t>
  </si>
  <si>
    <t xml:space="preserve">Distance Moved Over Time</t>
  </si>
  <si>
    <t xml:space="preserve">3 time horizons × 8 plates</t>
  </si>
  <si>
    <t xml:space="preserve">Years</t>
  </si>
  <si>
    <t xml:space="preserve">Distance (cm) =B·C</t>
  </si>
  <si>
    <t xml:space="preserve">Distance (m) =D/100</t>
  </si>
  <si>
    <t xml:space="preserve">Distance (km) =E/1000</t>
  </si>
  <si>
    <t xml:space="preserve">Speed Class</t>
  </si>
  <si>
    <t xml:space="preserve">Atlantic Ocean Age Estimator</t>
  </si>
  <si>
    <t xml:space="preserve">Age = width ÷ spreading rate</t>
  </si>
  <si>
    <t xml:space="preserve">Location</t>
  </si>
  <si>
    <t xml:space="preserve">Current Width (km)</t>
  </si>
  <si>
    <t xml:space="preserve">Spreading (cm/yr)</t>
  </si>
  <si>
    <t xml:space="preserve">Width (cm) =B·100000</t>
  </si>
  <si>
    <t xml:space="preserve">Age (yr) =D/C</t>
  </si>
  <si>
    <t xml:space="preserve">Age (Myr) =E/1e6</t>
  </si>
  <si>
    <t xml:space="preserve">North Atlantic</t>
  </si>
  <si>
    <t xml:space="preserve">South Atlantic</t>
  </si>
  <si>
    <t xml:space="preserve">Equatorial Atlantic</t>
  </si>
  <si>
    <t xml:space="preserve">India's Journey North</t>
  </si>
  <si>
    <t xml:space="preserve">Avg 15 cm/yr; 180 Ma → present</t>
  </si>
  <si>
    <t xml:space="preserve">Time (Ma)</t>
  </si>
  <si>
    <t xml:space="preserve">Distance (cm) from origin</t>
  </si>
  <si>
    <t xml:space="preserve">Distance (km)</t>
  </si>
  <si>
    <t xml:space="preserve">Notes</t>
  </si>
  <si>
    <t xml:space="preserve">Start: India separates from Africa</t>
  </si>
  <si>
    <t xml:space="preserve">Collision with Asia begins</t>
  </si>
  <si>
    <t xml:space="preserve">Present day</t>
  </si>
  <si>
    <t xml:space="preserve">Future Pangea Projection (250 Ma future)</t>
  </si>
  <si>
    <t xml:space="preserve">Distance at current speeds</t>
  </si>
  <si>
    <t xml:space="preserve">Distance (cm) =B·250·1e6</t>
  </si>
  <si>
    <t xml:space="preserve">Distance (km) =C/1e5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</si>
</sst>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#,##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Plate speed (cm/yr)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Plate_Speeds!B3</c:f>
              <c:strCache>
                <c:ptCount val="1"/>
                <c:pt idx="0">
                  <c:v>Speed (cm/yr)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Plate_Speeds!$A$4:$A$11</c:f>
              <c:strCache>
                <c:ptCount val="8"/>
                <c:pt idx="0">
                  <c:v>Pacific</c:v>
                </c:pt>
                <c:pt idx="1">
                  <c:v>Australian</c:v>
                </c:pt>
                <c:pt idx="2">
                  <c:v>Nazca</c:v>
                </c:pt>
                <c:pt idx="3">
                  <c:v>African</c:v>
                </c:pt>
                <c:pt idx="4">
                  <c:v>North American</c:v>
                </c:pt>
                <c:pt idx="5">
                  <c:v>Eurasian</c:v>
                </c:pt>
                <c:pt idx="6">
                  <c:v>Caribbean</c:v>
                </c:pt>
                <c:pt idx="7">
                  <c:v>Antarctic</c:v>
                </c:pt>
              </c:strCache>
            </c:strRef>
          </c:cat>
          <c:val>
            <c:numRef>
              <c:f>Plate_Speeds!$B$4:$B$11</c:f>
              <c:numCache>
                <c:formatCode>0.00</c:formatCode>
                <c:ptCount val="8"/>
                <c:pt idx="0">
                  <c:v>10</c:v>
                </c:pt>
                <c:pt idx="1">
                  <c:v>6.7</c:v>
                </c:pt>
                <c:pt idx="2">
                  <c:v>7.7</c:v>
                </c:pt>
                <c:pt idx="3">
                  <c:v>2.15</c:v>
                </c:pt>
                <c:pt idx="4">
                  <c:v>2.3</c:v>
                </c:pt>
                <c:pt idx="5">
                  <c:v>2.1</c:v>
                </c:pt>
                <c:pt idx="6">
                  <c:v>2</c:v>
                </c:pt>
                <c:pt idx="7">
                  <c:v>1.4</c:v>
                </c:pt>
              </c:numCache>
            </c:numRef>
          </c:val>
        </c:ser>
        <c:gapWidth val="150"/>
        <c:overlap val="0"/>
        <c:axId val="79493495"/>
        <c:axId val="74427589"/>
      </c:barChart>
      <c:catAx>
        <c:axId val="79493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Plate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427589"/>
        <c:crosses val="autoZero"/>
        <c:auto val="1"/>
        <c:lblAlgn val="ctr"/>
        <c:lblOffset val="100"/>
        <c:noMultiLvlLbl val="0"/>
      </c:catAx>
      <c:valAx>
        <c:axId val="74427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cm/yr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4934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India's Journey North (distance vs Ma ago)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"Distance"</c:f>
              <c:strCache>
                <c:ptCount val="1"/>
                <c:pt idx="0">
                  <c:v>Distance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India_Journey!$A$4:$A$10</c:f>
              <c:numCache>
                <c:formatCode>General</c:formatCode>
                <c:ptCount val="7"/>
                <c:pt idx="0">
                  <c:v>180</c:v>
                </c:pt>
                <c:pt idx="1">
                  <c:v>150</c:v>
                </c:pt>
                <c:pt idx="2">
                  <c:v>120</c:v>
                </c:pt>
                <c:pt idx="3">
                  <c:v>90</c:v>
                </c:pt>
                <c:pt idx="4">
                  <c:v>60</c:v>
                </c:pt>
                <c:pt idx="5">
                  <c:v>50</c:v>
                </c:pt>
                <c:pt idx="6">
                  <c:v>0</c:v>
                </c:pt>
              </c:numCache>
            </c:numRef>
          </c:xVal>
          <c:yVal>
            <c:numRef>
              <c:f>India_Journey!$C$4:$C$10</c:f>
              <c:numCache>
                <c:formatCode>#,##0</c:formatCode>
                <c:ptCount val="7"/>
                <c:pt idx="0">
                  <c:v>0</c:v>
                </c:pt>
                <c:pt idx="1">
                  <c:v>4500</c:v>
                </c:pt>
                <c:pt idx="2">
                  <c:v>9000</c:v>
                </c:pt>
                <c:pt idx="3">
                  <c:v>13500</c:v>
                </c:pt>
                <c:pt idx="4">
                  <c:v>18000</c:v>
                </c:pt>
                <c:pt idx="5">
                  <c:v>19500</c:v>
                </c:pt>
                <c:pt idx="6">
                  <c:v>27000</c:v>
                </c:pt>
              </c:numCache>
            </c:numRef>
          </c:yVal>
          <c:smooth val="1"/>
        </c:ser>
        <c:axId val="86862458"/>
        <c:axId val="3489326"/>
      </c:scatterChart>
      <c:valAx>
        <c:axId val="868624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Time (Ma ago)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9326"/>
        <c:crosses val="autoZero"/>
        <c:crossBetween val="midCat"/>
      </c:valAx>
      <c:valAx>
        <c:axId val="3489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6245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766008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255600</xdr:colOff>
      <xdr:row>19</xdr:row>
      <xdr:rowOff>150840</xdr:rowOff>
    </xdr:to>
    <xdr:graphicFrame>
      <xdr:nvGraphicFramePr>
        <xdr:cNvPr id="2" name="Chart 1"/>
        <xdr:cNvGraphicFramePr/>
      </xdr:nvGraphicFramePr>
      <xdr:xfrm>
        <a:off x="6673320" y="55260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2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5" t="s">
        <v>7</v>
      </c>
      <c r="B4" s="6" t="n">
        <v>10</v>
      </c>
      <c r="C4" s="5" t="s">
        <v>8</v>
      </c>
      <c r="D4" s="7" t="n">
        <f aca="false">B4*10</f>
        <v>100</v>
      </c>
      <c r="E4" s="7" t="n">
        <f aca="false">B4*10</f>
        <v>100</v>
      </c>
    </row>
    <row r="5" customFormat="false" ht="15" hidden="false" customHeight="false" outlineLevel="0" collapsed="false">
      <c r="A5" s="5" t="s">
        <v>9</v>
      </c>
      <c r="B5" s="6" t="n">
        <v>6.7</v>
      </c>
      <c r="C5" s="5" t="s">
        <v>10</v>
      </c>
      <c r="D5" s="7" t="n">
        <f aca="false">B5*10</f>
        <v>67</v>
      </c>
      <c r="E5" s="7" t="n">
        <f aca="false">B5*10</f>
        <v>67</v>
      </c>
    </row>
    <row r="6" customFormat="false" ht="15" hidden="false" customHeight="false" outlineLevel="0" collapsed="false">
      <c r="A6" s="5" t="s">
        <v>11</v>
      </c>
      <c r="B6" s="6" t="n">
        <v>7.7</v>
      </c>
      <c r="C6" s="5" t="s">
        <v>12</v>
      </c>
      <c r="D6" s="7" t="n">
        <f aca="false">B6*10</f>
        <v>77</v>
      </c>
      <c r="E6" s="7" t="n">
        <f aca="false">B6*10</f>
        <v>77</v>
      </c>
    </row>
    <row r="7" customFormat="false" ht="15" hidden="false" customHeight="false" outlineLevel="0" collapsed="false">
      <c r="A7" s="5" t="s">
        <v>13</v>
      </c>
      <c r="B7" s="6" t="n">
        <v>2.15</v>
      </c>
      <c r="C7" s="5" t="s">
        <v>14</v>
      </c>
      <c r="D7" s="7" t="n">
        <f aca="false">B7*10</f>
        <v>21.5</v>
      </c>
      <c r="E7" s="7" t="n">
        <f aca="false">B7*10</f>
        <v>21.5</v>
      </c>
    </row>
    <row r="8" customFormat="false" ht="15" hidden="false" customHeight="false" outlineLevel="0" collapsed="false">
      <c r="A8" s="5" t="s">
        <v>15</v>
      </c>
      <c r="B8" s="6" t="n">
        <v>2.3</v>
      </c>
      <c r="C8" s="5" t="s">
        <v>16</v>
      </c>
      <c r="D8" s="7" t="n">
        <f aca="false">B8*10</f>
        <v>23</v>
      </c>
      <c r="E8" s="7" t="n">
        <f aca="false">B8*10</f>
        <v>23</v>
      </c>
    </row>
    <row r="9" customFormat="false" ht="15" hidden="false" customHeight="false" outlineLevel="0" collapsed="false">
      <c r="A9" s="5" t="s">
        <v>17</v>
      </c>
      <c r="B9" s="6" t="n">
        <v>2.1</v>
      </c>
      <c r="C9" s="5" t="s">
        <v>12</v>
      </c>
      <c r="D9" s="7" t="n">
        <f aca="false">B9*10</f>
        <v>21</v>
      </c>
      <c r="E9" s="7" t="n">
        <f aca="false">B9*10</f>
        <v>21</v>
      </c>
    </row>
    <row r="10" customFormat="false" ht="15" hidden="false" customHeight="false" outlineLevel="0" collapsed="false">
      <c r="A10" s="5" t="s">
        <v>18</v>
      </c>
      <c r="B10" s="6" t="n">
        <v>2</v>
      </c>
      <c r="C10" s="5" t="s">
        <v>19</v>
      </c>
      <c r="D10" s="7" t="n">
        <f aca="false">B10*10</f>
        <v>20</v>
      </c>
      <c r="E10" s="7" t="n">
        <f aca="false">B10*10</f>
        <v>20</v>
      </c>
    </row>
    <row r="11" customFormat="false" ht="15" hidden="false" customHeight="false" outlineLevel="0" collapsed="false">
      <c r="A11" s="5" t="s">
        <v>20</v>
      </c>
      <c r="B11" s="6" t="n">
        <v>1.4</v>
      </c>
      <c r="C11" s="5" t="s">
        <v>21</v>
      </c>
      <c r="D11" s="7" t="n">
        <f aca="false">B11*10</f>
        <v>14</v>
      </c>
      <c r="E11" s="7" t="n">
        <f aca="false">B11*10</f>
        <v>14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6" min="4" style="1" width="18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23</v>
      </c>
      <c r="B2" s="3"/>
      <c r="C2" s="3"/>
      <c r="D2" s="3"/>
      <c r="E2" s="3"/>
      <c r="F2" s="3"/>
      <c r="G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</row>
    <row r="4" customFormat="false" ht="15" hidden="false" customHeight="false" outlineLevel="0" collapsed="false">
      <c r="A4" s="5" t="s">
        <v>7</v>
      </c>
      <c r="B4" s="6" t="n">
        <v>10</v>
      </c>
      <c r="C4" s="8" t="n">
        <v>10000</v>
      </c>
      <c r="D4" s="9" t="n">
        <f aca="false">B4*C4</f>
        <v>100000</v>
      </c>
      <c r="E4" s="9" t="n">
        <f aca="false">D4/100</f>
        <v>1000</v>
      </c>
      <c r="F4" s="10" t="n">
        <f aca="false">E4/1000</f>
        <v>1</v>
      </c>
      <c r="G4" s="11" t="str">
        <f aca="false">IF(B4&lt;3,"Slow",IF(B4&gt;6,"Fast","Medium"))</f>
        <v>Fast</v>
      </c>
    </row>
    <row r="5" customFormat="false" ht="15" hidden="false" customHeight="false" outlineLevel="0" collapsed="false">
      <c r="A5" s="5" t="s">
        <v>7</v>
      </c>
      <c r="B5" s="6" t="n">
        <v>10</v>
      </c>
      <c r="C5" s="8" t="n">
        <v>1000000</v>
      </c>
      <c r="D5" s="9" t="n">
        <f aca="false">B5*C5</f>
        <v>10000000</v>
      </c>
      <c r="E5" s="9" t="n">
        <f aca="false">D5/100</f>
        <v>100000</v>
      </c>
      <c r="F5" s="10" t="n">
        <f aca="false">E5/1000</f>
        <v>100</v>
      </c>
      <c r="G5" s="11" t="str">
        <f aca="false">IF(B5&lt;3,"Slow",IF(B5&gt;6,"Fast","Medium"))</f>
        <v>Fast</v>
      </c>
    </row>
    <row r="6" customFormat="false" ht="15" hidden="false" customHeight="false" outlineLevel="0" collapsed="false">
      <c r="A6" s="5" t="s">
        <v>7</v>
      </c>
      <c r="B6" s="6" t="n">
        <v>10</v>
      </c>
      <c r="C6" s="8" t="n">
        <v>50000000</v>
      </c>
      <c r="D6" s="9" t="n">
        <f aca="false">B6*C6</f>
        <v>500000000</v>
      </c>
      <c r="E6" s="9" t="n">
        <f aca="false">D6/100</f>
        <v>5000000</v>
      </c>
      <c r="F6" s="10" t="n">
        <f aca="false">E6/1000</f>
        <v>5000</v>
      </c>
      <c r="G6" s="11" t="str">
        <f aca="false">IF(B6&lt;3,"Slow",IF(B6&gt;6,"Fast","Medium"))</f>
        <v>Fast</v>
      </c>
    </row>
    <row r="7" customFormat="false" ht="15" hidden="false" customHeight="false" outlineLevel="0" collapsed="false">
      <c r="A7" s="5" t="s">
        <v>9</v>
      </c>
      <c r="B7" s="6" t="n">
        <v>6.7</v>
      </c>
      <c r="C7" s="8" t="n">
        <v>10000</v>
      </c>
      <c r="D7" s="9" t="n">
        <f aca="false">B7*C7</f>
        <v>67000</v>
      </c>
      <c r="E7" s="9" t="n">
        <f aca="false">D7/100</f>
        <v>670</v>
      </c>
      <c r="F7" s="10" t="n">
        <f aca="false">E7/1000</f>
        <v>0.67</v>
      </c>
      <c r="G7" s="11" t="str">
        <f aca="false">IF(B7&lt;3,"Slow",IF(B7&gt;6,"Fast","Medium"))</f>
        <v>Fast</v>
      </c>
    </row>
    <row r="8" customFormat="false" ht="15" hidden="false" customHeight="false" outlineLevel="0" collapsed="false">
      <c r="A8" s="5" t="s">
        <v>9</v>
      </c>
      <c r="B8" s="6" t="n">
        <v>6.7</v>
      </c>
      <c r="C8" s="8" t="n">
        <v>1000000</v>
      </c>
      <c r="D8" s="9" t="n">
        <f aca="false">B8*C8</f>
        <v>6700000</v>
      </c>
      <c r="E8" s="9" t="n">
        <f aca="false">D8/100</f>
        <v>67000</v>
      </c>
      <c r="F8" s="10" t="n">
        <f aca="false">E8/1000</f>
        <v>67</v>
      </c>
      <c r="G8" s="11" t="str">
        <f aca="false">IF(B8&lt;3,"Slow",IF(B8&gt;6,"Fast","Medium"))</f>
        <v>Fast</v>
      </c>
    </row>
    <row r="9" customFormat="false" ht="15" hidden="false" customHeight="false" outlineLevel="0" collapsed="false">
      <c r="A9" s="5" t="s">
        <v>9</v>
      </c>
      <c r="B9" s="6" t="n">
        <v>6.7</v>
      </c>
      <c r="C9" s="8" t="n">
        <v>50000000</v>
      </c>
      <c r="D9" s="9" t="n">
        <f aca="false">B9*C9</f>
        <v>335000000</v>
      </c>
      <c r="E9" s="9" t="n">
        <f aca="false">D9/100</f>
        <v>3350000</v>
      </c>
      <c r="F9" s="10" t="n">
        <f aca="false">E9/1000</f>
        <v>3350</v>
      </c>
      <c r="G9" s="11" t="str">
        <f aca="false">IF(B9&lt;3,"Slow",IF(B9&gt;6,"Fast","Medium"))</f>
        <v>Fast</v>
      </c>
    </row>
    <row r="10" customFormat="false" ht="15" hidden="false" customHeight="false" outlineLevel="0" collapsed="false">
      <c r="A10" s="5" t="s">
        <v>11</v>
      </c>
      <c r="B10" s="6" t="n">
        <v>7.7</v>
      </c>
      <c r="C10" s="8" t="n">
        <v>10000</v>
      </c>
      <c r="D10" s="9" t="n">
        <f aca="false">B10*C10</f>
        <v>77000</v>
      </c>
      <c r="E10" s="9" t="n">
        <f aca="false">D10/100</f>
        <v>770</v>
      </c>
      <c r="F10" s="10" t="n">
        <f aca="false">E10/1000</f>
        <v>0.77</v>
      </c>
      <c r="G10" s="11" t="str">
        <f aca="false">IF(B10&lt;3,"Slow",IF(B10&gt;6,"Fast","Medium"))</f>
        <v>Fast</v>
      </c>
    </row>
    <row r="11" customFormat="false" ht="15" hidden="false" customHeight="false" outlineLevel="0" collapsed="false">
      <c r="A11" s="5" t="s">
        <v>11</v>
      </c>
      <c r="B11" s="6" t="n">
        <v>7.7</v>
      </c>
      <c r="C11" s="8" t="n">
        <v>1000000</v>
      </c>
      <c r="D11" s="9" t="n">
        <f aca="false">B11*C11</f>
        <v>7700000</v>
      </c>
      <c r="E11" s="9" t="n">
        <f aca="false">D11/100</f>
        <v>77000</v>
      </c>
      <c r="F11" s="10" t="n">
        <f aca="false">E11/1000</f>
        <v>77</v>
      </c>
      <c r="G11" s="11" t="str">
        <f aca="false">IF(B11&lt;3,"Slow",IF(B11&gt;6,"Fast","Medium"))</f>
        <v>Fast</v>
      </c>
    </row>
    <row r="12" customFormat="false" ht="15" hidden="false" customHeight="false" outlineLevel="0" collapsed="false">
      <c r="A12" s="5" t="s">
        <v>11</v>
      </c>
      <c r="B12" s="6" t="n">
        <v>7.7</v>
      </c>
      <c r="C12" s="8" t="n">
        <v>50000000</v>
      </c>
      <c r="D12" s="9" t="n">
        <f aca="false">B12*C12</f>
        <v>385000000</v>
      </c>
      <c r="E12" s="9" t="n">
        <f aca="false">D12/100</f>
        <v>3850000</v>
      </c>
      <c r="F12" s="10" t="n">
        <f aca="false">E12/1000</f>
        <v>3850</v>
      </c>
      <c r="G12" s="11" t="str">
        <f aca="false">IF(B12&lt;3,"Slow",IF(B12&gt;6,"Fast","Medium"))</f>
        <v>Fast</v>
      </c>
    </row>
    <row r="13" customFormat="false" ht="15" hidden="false" customHeight="false" outlineLevel="0" collapsed="false">
      <c r="A13" s="5" t="s">
        <v>13</v>
      </c>
      <c r="B13" s="6" t="n">
        <v>2.15</v>
      </c>
      <c r="C13" s="8" t="n">
        <v>10000</v>
      </c>
      <c r="D13" s="9" t="n">
        <f aca="false">B13*C13</f>
        <v>21500</v>
      </c>
      <c r="E13" s="9" t="n">
        <f aca="false">D13/100</f>
        <v>215</v>
      </c>
      <c r="F13" s="10" t="n">
        <f aca="false">E13/1000</f>
        <v>0.215</v>
      </c>
      <c r="G13" s="11" t="str">
        <f aca="false">IF(B13&lt;3,"Slow",IF(B13&gt;6,"Fast","Medium"))</f>
        <v>Slow</v>
      </c>
    </row>
    <row r="14" customFormat="false" ht="15" hidden="false" customHeight="false" outlineLevel="0" collapsed="false">
      <c r="A14" s="5" t="s">
        <v>13</v>
      </c>
      <c r="B14" s="6" t="n">
        <v>2.15</v>
      </c>
      <c r="C14" s="8" t="n">
        <v>1000000</v>
      </c>
      <c r="D14" s="9" t="n">
        <f aca="false">B14*C14</f>
        <v>2150000</v>
      </c>
      <c r="E14" s="9" t="n">
        <f aca="false">D14/100</f>
        <v>21500</v>
      </c>
      <c r="F14" s="10" t="n">
        <f aca="false">E14/1000</f>
        <v>21.5</v>
      </c>
      <c r="G14" s="11" t="str">
        <f aca="false">IF(B14&lt;3,"Slow",IF(B14&gt;6,"Fast","Medium"))</f>
        <v>Slow</v>
      </c>
    </row>
    <row r="15" customFormat="false" ht="15" hidden="false" customHeight="false" outlineLevel="0" collapsed="false">
      <c r="A15" s="5" t="s">
        <v>13</v>
      </c>
      <c r="B15" s="6" t="n">
        <v>2.15</v>
      </c>
      <c r="C15" s="8" t="n">
        <v>50000000</v>
      </c>
      <c r="D15" s="9" t="n">
        <f aca="false">B15*C15</f>
        <v>107500000</v>
      </c>
      <c r="E15" s="9" t="n">
        <f aca="false">D15/100</f>
        <v>1075000</v>
      </c>
      <c r="F15" s="10" t="n">
        <f aca="false">E15/1000</f>
        <v>1075</v>
      </c>
      <c r="G15" s="11" t="str">
        <f aca="false">IF(B15&lt;3,"Slow",IF(B15&gt;6,"Fast","Medium"))</f>
        <v>Slow</v>
      </c>
    </row>
    <row r="16" customFormat="false" ht="15" hidden="false" customHeight="false" outlineLevel="0" collapsed="false">
      <c r="A16" s="5" t="s">
        <v>15</v>
      </c>
      <c r="B16" s="6" t="n">
        <v>2.3</v>
      </c>
      <c r="C16" s="8" t="n">
        <v>10000</v>
      </c>
      <c r="D16" s="9" t="n">
        <f aca="false">B16*C16</f>
        <v>23000</v>
      </c>
      <c r="E16" s="9" t="n">
        <f aca="false">D16/100</f>
        <v>230</v>
      </c>
      <c r="F16" s="10" t="n">
        <f aca="false">E16/1000</f>
        <v>0.23</v>
      </c>
      <c r="G16" s="11" t="str">
        <f aca="false">IF(B16&lt;3,"Slow",IF(B16&gt;6,"Fast","Medium"))</f>
        <v>Slow</v>
      </c>
    </row>
    <row r="17" customFormat="false" ht="15" hidden="false" customHeight="false" outlineLevel="0" collapsed="false">
      <c r="A17" s="5" t="s">
        <v>15</v>
      </c>
      <c r="B17" s="6" t="n">
        <v>2.3</v>
      </c>
      <c r="C17" s="8" t="n">
        <v>1000000</v>
      </c>
      <c r="D17" s="9" t="n">
        <f aca="false">B17*C17</f>
        <v>2300000</v>
      </c>
      <c r="E17" s="9" t="n">
        <f aca="false">D17/100</f>
        <v>23000</v>
      </c>
      <c r="F17" s="10" t="n">
        <f aca="false">E17/1000</f>
        <v>23</v>
      </c>
      <c r="G17" s="11" t="str">
        <f aca="false">IF(B17&lt;3,"Slow",IF(B17&gt;6,"Fast","Medium"))</f>
        <v>Slow</v>
      </c>
    </row>
    <row r="18" customFormat="false" ht="15" hidden="false" customHeight="false" outlineLevel="0" collapsed="false">
      <c r="A18" s="5" t="s">
        <v>15</v>
      </c>
      <c r="B18" s="6" t="n">
        <v>2.3</v>
      </c>
      <c r="C18" s="8" t="n">
        <v>50000000</v>
      </c>
      <c r="D18" s="9" t="n">
        <f aca="false">B18*C18</f>
        <v>115000000</v>
      </c>
      <c r="E18" s="9" t="n">
        <f aca="false">D18/100</f>
        <v>1150000</v>
      </c>
      <c r="F18" s="10" t="n">
        <f aca="false">E18/1000</f>
        <v>1150</v>
      </c>
      <c r="G18" s="11" t="str">
        <f aca="false">IF(B18&lt;3,"Slow",IF(B18&gt;6,"Fast","Medium"))</f>
        <v>Slow</v>
      </c>
    </row>
    <row r="19" customFormat="false" ht="15" hidden="false" customHeight="false" outlineLevel="0" collapsed="false">
      <c r="A19" s="5" t="s">
        <v>17</v>
      </c>
      <c r="B19" s="6" t="n">
        <v>2.1</v>
      </c>
      <c r="C19" s="8" t="n">
        <v>10000</v>
      </c>
      <c r="D19" s="9" t="n">
        <f aca="false">B19*C19</f>
        <v>21000</v>
      </c>
      <c r="E19" s="9" t="n">
        <f aca="false">D19/100</f>
        <v>210</v>
      </c>
      <c r="F19" s="10" t="n">
        <f aca="false">E19/1000</f>
        <v>0.21</v>
      </c>
      <c r="G19" s="11" t="str">
        <f aca="false">IF(B19&lt;3,"Slow",IF(B19&gt;6,"Fast","Medium"))</f>
        <v>Slow</v>
      </c>
    </row>
    <row r="20" customFormat="false" ht="15" hidden="false" customHeight="false" outlineLevel="0" collapsed="false">
      <c r="A20" s="5" t="s">
        <v>17</v>
      </c>
      <c r="B20" s="6" t="n">
        <v>2.1</v>
      </c>
      <c r="C20" s="8" t="n">
        <v>1000000</v>
      </c>
      <c r="D20" s="9" t="n">
        <f aca="false">B20*C20</f>
        <v>2100000</v>
      </c>
      <c r="E20" s="9" t="n">
        <f aca="false">D20/100</f>
        <v>21000</v>
      </c>
      <c r="F20" s="10" t="n">
        <f aca="false">E20/1000</f>
        <v>21</v>
      </c>
      <c r="G20" s="11" t="str">
        <f aca="false">IF(B20&lt;3,"Slow",IF(B20&gt;6,"Fast","Medium"))</f>
        <v>Slow</v>
      </c>
    </row>
    <row r="21" customFormat="false" ht="15" hidden="false" customHeight="false" outlineLevel="0" collapsed="false">
      <c r="A21" s="5" t="s">
        <v>17</v>
      </c>
      <c r="B21" s="6" t="n">
        <v>2.1</v>
      </c>
      <c r="C21" s="8" t="n">
        <v>50000000</v>
      </c>
      <c r="D21" s="9" t="n">
        <f aca="false">B21*C21</f>
        <v>105000000</v>
      </c>
      <c r="E21" s="9" t="n">
        <f aca="false">D21/100</f>
        <v>1050000</v>
      </c>
      <c r="F21" s="10" t="n">
        <f aca="false">E21/1000</f>
        <v>1050</v>
      </c>
      <c r="G21" s="11" t="str">
        <f aca="false">IF(B21&lt;3,"Slow",IF(B21&gt;6,"Fast","Medium"))</f>
        <v>Slow</v>
      </c>
    </row>
    <row r="22" customFormat="false" ht="15" hidden="false" customHeight="false" outlineLevel="0" collapsed="false">
      <c r="A22" s="5" t="s">
        <v>18</v>
      </c>
      <c r="B22" s="6" t="n">
        <v>2</v>
      </c>
      <c r="C22" s="8" t="n">
        <v>10000</v>
      </c>
      <c r="D22" s="9" t="n">
        <f aca="false">B22*C22</f>
        <v>20000</v>
      </c>
      <c r="E22" s="9" t="n">
        <f aca="false">D22/100</f>
        <v>200</v>
      </c>
      <c r="F22" s="10" t="n">
        <f aca="false">E22/1000</f>
        <v>0.2</v>
      </c>
      <c r="G22" s="11" t="str">
        <f aca="false">IF(B22&lt;3,"Slow",IF(B22&gt;6,"Fast","Medium"))</f>
        <v>Slow</v>
      </c>
    </row>
    <row r="23" customFormat="false" ht="15" hidden="false" customHeight="false" outlineLevel="0" collapsed="false">
      <c r="A23" s="5" t="s">
        <v>18</v>
      </c>
      <c r="B23" s="6" t="n">
        <v>2</v>
      </c>
      <c r="C23" s="8" t="n">
        <v>1000000</v>
      </c>
      <c r="D23" s="9" t="n">
        <f aca="false">B23*C23</f>
        <v>2000000</v>
      </c>
      <c r="E23" s="9" t="n">
        <f aca="false">D23/100</f>
        <v>20000</v>
      </c>
      <c r="F23" s="10" t="n">
        <f aca="false">E23/1000</f>
        <v>20</v>
      </c>
      <c r="G23" s="11" t="str">
        <f aca="false">IF(B23&lt;3,"Slow",IF(B23&gt;6,"Fast","Medium"))</f>
        <v>Slow</v>
      </c>
    </row>
    <row r="24" customFormat="false" ht="15" hidden="false" customHeight="false" outlineLevel="0" collapsed="false">
      <c r="A24" s="5" t="s">
        <v>18</v>
      </c>
      <c r="B24" s="6" t="n">
        <v>2</v>
      </c>
      <c r="C24" s="8" t="n">
        <v>50000000</v>
      </c>
      <c r="D24" s="9" t="n">
        <f aca="false">B24*C24</f>
        <v>100000000</v>
      </c>
      <c r="E24" s="9" t="n">
        <f aca="false">D24/100</f>
        <v>1000000</v>
      </c>
      <c r="F24" s="10" t="n">
        <f aca="false">E24/1000</f>
        <v>1000</v>
      </c>
      <c r="G24" s="11" t="str">
        <f aca="false">IF(B24&lt;3,"Slow",IF(B24&gt;6,"Fast","Medium"))</f>
        <v>Slow</v>
      </c>
    </row>
    <row r="25" customFormat="false" ht="15" hidden="false" customHeight="false" outlineLevel="0" collapsed="false">
      <c r="A25" s="5" t="s">
        <v>20</v>
      </c>
      <c r="B25" s="6" t="n">
        <v>1.4</v>
      </c>
      <c r="C25" s="8" t="n">
        <v>10000</v>
      </c>
      <c r="D25" s="9" t="n">
        <f aca="false">B25*C25</f>
        <v>14000</v>
      </c>
      <c r="E25" s="9" t="n">
        <f aca="false">D25/100</f>
        <v>140</v>
      </c>
      <c r="F25" s="10" t="n">
        <f aca="false">E25/1000</f>
        <v>0.14</v>
      </c>
      <c r="G25" s="11" t="str">
        <f aca="false">IF(B25&lt;3,"Slow",IF(B25&gt;6,"Fast","Medium"))</f>
        <v>Slow</v>
      </c>
    </row>
    <row r="26" customFormat="false" ht="15" hidden="false" customHeight="false" outlineLevel="0" collapsed="false">
      <c r="A26" s="5" t="s">
        <v>20</v>
      </c>
      <c r="B26" s="6" t="n">
        <v>1.4</v>
      </c>
      <c r="C26" s="8" t="n">
        <v>1000000</v>
      </c>
      <c r="D26" s="9" t="n">
        <f aca="false">B26*C26</f>
        <v>1400000</v>
      </c>
      <c r="E26" s="9" t="n">
        <f aca="false">D26/100</f>
        <v>14000</v>
      </c>
      <c r="F26" s="10" t="n">
        <f aca="false">E26/1000</f>
        <v>14</v>
      </c>
      <c r="G26" s="11" t="str">
        <f aca="false">IF(B26&lt;3,"Slow",IF(B26&gt;6,"Fast","Medium"))</f>
        <v>Slow</v>
      </c>
    </row>
    <row r="27" customFormat="false" ht="15" hidden="false" customHeight="false" outlineLevel="0" collapsed="false">
      <c r="A27" s="5" t="s">
        <v>20</v>
      </c>
      <c r="B27" s="6" t="n">
        <v>1.4</v>
      </c>
      <c r="C27" s="8" t="n">
        <v>50000000</v>
      </c>
      <c r="D27" s="9" t="n">
        <f aca="false">B27*C27</f>
        <v>70000000</v>
      </c>
      <c r="E27" s="9" t="n">
        <f aca="false">D27/100</f>
        <v>700000</v>
      </c>
      <c r="F27" s="10" t="n">
        <f aca="false">E27/1000</f>
        <v>700</v>
      </c>
      <c r="G27" s="11" t="str">
        <f aca="false">IF(B27&lt;3,"Slow",IF(B27&gt;6,"Fast","Medium"))</f>
        <v>Slow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8"/>
    <col collapsed="false" customWidth="true" hidden="false" outlineLevel="0" max="6" min="6" style="1" width="14"/>
  </cols>
  <sheetData>
    <row r="1" customFormat="false" ht="25.5" hidden="false" customHeight="true" outlineLevel="0" collapsed="false">
      <c r="A1" s="2" t="s">
        <v>29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30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</row>
    <row r="4" customFormat="false" ht="15" hidden="false" customHeight="false" outlineLevel="0" collapsed="false">
      <c r="A4" s="5" t="s">
        <v>37</v>
      </c>
      <c r="B4" s="8" t="n">
        <v>5800</v>
      </c>
      <c r="C4" s="6" t="n">
        <v>2.5</v>
      </c>
      <c r="D4" s="9" t="n">
        <f aca="false">B4*100000</f>
        <v>580000000</v>
      </c>
      <c r="E4" s="9" t="n">
        <f aca="false">D4/C4</f>
        <v>232000000</v>
      </c>
      <c r="F4" s="7" t="n">
        <f aca="false">E4/1000000</f>
        <v>232</v>
      </c>
    </row>
    <row r="5" customFormat="false" ht="15" hidden="false" customHeight="false" outlineLevel="0" collapsed="false">
      <c r="A5" s="5" t="s">
        <v>38</v>
      </c>
      <c r="B5" s="8" t="n">
        <v>4900</v>
      </c>
      <c r="C5" s="6" t="n">
        <v>3.4</v>
      </c>
      <c r="D5" s="9" t="n">
        <f aca="false">B5*100000</f>
        <v>490000000</v>
      </c>
      <c r="E5" s="9" t="n">
        <f aca="false">D5/C5</f>
        <v>144117647.058824</v>
      </c>
      <c r="F5" s="7" t="n">
        <f aca="false">E5/1000000</f>
        <v>144.117647058824</v>
      </c>
    </row>
    <row r="6" customFormat="false" ht="15" hidden="false" customHeight="false" outlineLevel="0" collapsed="false">
      <c r="A6" s="5" t="s">
        <v>39</v>
      </c>
      <c r="B6" s="8" t="n">
        <v>4200</v>
      </c>
      <c r="C6" s="6" t="n">
        <v>2.8</v>
      </c>
      <c r="D6" s="9" t="n">
        <f aca="false">B6*100000</f>
        <v>420000000</v>
      </c>
      <c r="E6" s="9" t="n">
        <f aca="false">D6/C6</f>
        <v>150000000</v>
      </c>
      <c r="F6" s="7" t="n">
        <f aca="false">E6/1000000</f>
        <v>150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32"/>
  </cols>
  <sheetData>
    <row r="1" customFormat="false" ht="25.5" hidden="false" customHeight="true" outlineLevel="0" collapsed="false">
      <c r="A1" s="2" t="s">
        <v>40</v>
      </c>
      <c r="B1" s="2"/>
      <c r="C1" s="2"/>
      <c r="D1" s="2"/>
    </row>
    <row r="2" customFormat="false" ht="18" hidden="false" customHeight="true" outlineLevel="0" collapsed="false">
      <c r="A2" s="3" t="s">
        <v>41</v>
      </c>
      <c r="B2" s="3"/>
      <c r="C2" s="3"/>
      <c r="D2" s="3"/>
    </row>
    <row r="3" customFormat="false" ht="31.5" hidden="false" customHeight="true" outlineLevel="0" collapsed="false">
      <c r="A3" s="4" t="s">
        <v>42</v>
      </c>
      <c r="B3" s="4" t="s">
        <v>43</v>
      </c>
      <c r="C3" s="4" t="s">
        <v>44</v>
      </c>
      <c r="D3" s="4" t="s">
        <v>45</v>
      </c>
    </row>
    <row r="4" customFormat="false" ht="15" hidden="false" customHeight="false" outlineLevel="0" collapsed="false">
      <c r="A4" s="12" t="n">
        <v>180</v>
      </c>
      <c r="B4" s="9" t="n">
        <f aca="false">0*1000000*15</f>
        <v>0</v>
      </c>
      <c r="C4" s="9" t="n">
        <f aca="false">B4/100000</f>
        <v>0</v>
      </c>
      <c r="D4" s="5" t="s">
        <v>46</v>
      </c>
    </row>
    <row r="5" customFormat="false" ht="15" hidden="false" customHeight="false" outlineLevel="0" collapsed="false">
      <c r="A5" s="12" t="n">
        <v>150</v>
      </c>
      <c r="B5" s="9" t="n">
        <f aca="false">30*1000000*15</f>
        <v>450000000</v>
      </c>
      <c r="C5" s="9" t="n">
        <f aca="false">B5/100000</f>
        <v>4500</v>
      </c>
      <c r="D5" s="5"/>
    </row>
    <row r="6" customFormat="false" ht="15" hidden="false" customHeight="false" outlineLevel="0" collapsed="false">
      <c r="A6" s="12" t="n">
        <v>120</v>
      </c>
      <c r="B6" s="9" t="n">
        <f aca="false">60*1000000*15</f>
        <v>900000000</v>
      </c>
      <c r="C6" s="9" t="n">
        <f aca="false">B6/100000</f>
        <v>9000</v>
      </c>
      <c r="D6" s="5"/>
    </row>
    <row r="7" customFormat="false" ht="15" hidden="false" customHeight="false" outlineLevel="0" collapsed="false">
      <c r="A7" s="12" t="n">
        <v>90</v>
      </c>
      <c r="B7" s="9" t="n">
        <f aca="false">90*1000000*15</f>
        <v>1350000000</v>
      </c>
      <c r="C7" s="9" t="n">
        <f aca="false">B7/100000</f>
        <v>13500</v>
      </c>
      <c r="D7" s="5"/>
    </row>
    <row r="8" customFormat="false" ht="15" hidden="false" customHeight="false" outlineLevel="0" collapsed="false">
      <c r="A8" s="12" t="n">
        <v>60</v>
      </c>
      <c r="B8" s="9" t="n">
        <f aca="false">120*1000000*15</f>
        <v>1800000000</v>
      </c>
      <c r="C8" s="9" t="n">
        <f aca="false">B8/100000</f>
        <v>18000</v>
      </c>
      <c r="D8" s="5"/>
    </row>
    <row r="9" customFormat="false" ht="15" hidden="false" customHeight="false" outlineLevel="0" collapsed="false">
      <c r="A9" s="12" t="n">
        <v>50</v>
      </c>
      <c r="B9" s="9" t="n">
        <f aca="false">130*1000000*15</f>
        <v>1950000000</v>
      </c>
      <c r="C9" s="9" t="n">
        <f aca="false">B9/100000</f>
        <v>19500</v>
      </c>
      <c r="D9" s="5" t="s">
        <v>47</v>
      </c>
    </row>
    <row r="10" customFormat="false" ht="15" hidden="false" customHeight="false" outlineLevel="0" collapsed="false">
      <c r="A10" s="12" t="n">
        <v>0</v>
      </c>
      <c r="B10" s="9" t="n">
        <f aca="false">180*1000000*15</f>
        <v>2700000000</v>
      </c>
      <c r="C10" s="9" t="n">
        <f aca="false">B10/100000</f>
        <v>27000</v>
      </c>
      <c r="D10" s="5" t="s">
        <v>48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4"/>
    <col collapsed="false" customWidth="true" hidden="false" outlineLevel="0" max="4" min="4" style="1" width="18"/>
  </cols>
  <sheetData>
    <row r="1" customFormat="false" ht="25.5" hidden="false" customHeight="true" outlineLevel="0" collapsed="false">
      <c r="A1" s="2" t="s">
        <v>49</v>
      </c>
      <c r="B1" s="2"/>
      <c r="C1" s="2"/>
      <c r="D1" s="2"/>
    </row>
    <row r="2" customFormat="false" ht="18" hidden="false" customHeight="true" outlineLevel="0" collapsed="false">
      <c r="A2" s="3" t="s">
        <v>50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51</v>
      </c>
      <c r="D3" s="4" t="s">
        <v>52</v>
      </c>
    </row>
    <row r="4" customFormat="false" ht="15" hidden="false" customHeight="false" outlineLevel="0" collapsed="false">
      <c r="A4" s="5" t="s">
        <v>13</v>
      </c>
      <c r="B4" s="6" t="n">
        <v>2.15</v>
      </c>
      <c r="C4" s="9" t="n">
        <f aca="false">B4*250*1000000</f>
        <v>537500000</v>
      </c>
      <c r="D4" s="9" t="n">
        <f aca="false">C4/100000</f>
        <v>5375</v>
      </c>
    </row>
    <row r="5" customFormat="false" ht="15" hidden="false" customHeight="false" outlineLevel="0" collapsed="false">
      <c r="A5" s="5" t="s">
        <v>15</v>
      </c>
      <c r="B5" s="6" t="n">
        <v>2.3</v>
      </c>
      <c r="C5" s="9" t="n">
        <f aca="false">B5*250*1000000</f>
        <v>575000000</v>
      </c>
      <c r="D5" s="9" t="n">
        <f aca="false">C5/100000</f>
        <v>5750</v>
      </c>
    </row>
    <row r="6" customFormat="false" ht="15" hidden="false" customHeight="false" outlineLevel="0" collapsed="false">
      <c r="A6" s="5" t="s">
        <v>7</v>
      </c>
      <c r="B6" s="6" t="n">
        <v>10</v>
      </c>
      <c r="C6" s="9" t="n">
        <f aca="false">B6*250*1000000</f>
        <v>2500000000</v>
      </c>
      <c r="D6" s="9" t="n">
        <f aca="false">C6/100000</f>
        <v>25000</v>
      </c>
    </row>
    <row r="7" customFormat="false" ht="15" hidden="false" customHeight="false" outlineLevel="0" collapsed="false">
      <c r="A7" s="5" t="s">
        <v>9</v>
      </c>
      <c r="B7" s="6" t="n">
        <v>6.7</v>
      </c>
      <c r="C7" s="9" t="n">
        <f aca="false">B7*250*1000000</f>
        <v>1675000000</v>
      </c>
      <c r="D7" s="9" t="n">
        <f aca="false">C7/100000</f>
        <v>16750</v>
      </c>
    </row>
    <row r="8" customFormat="false" ht="15" hidden="false" customHeight="false" outlineLevel="0" collapsed="false">
      <c r="A8" s="5" t="s">
        <v>17</v>
      </c>
      <c r="B8" s="6" t="n">
        <v>2.1</v>
      </c>
      <c r="C8" s="9" t="n">
        <f aca="false">B8*250*1000000</f>
        <v>525000000</v>
      </c>
      <c r="D8" s="9" t="n">
        <f aca="false">C8/100000</f>
        <v>5250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2026-04-21T18:56:48Z</dcterms:created>
  <dc:creator>openpyxl</dc:creator>
  <dc:description/>
  <dc:language>en-US</dc:language>
  <cp:lastModifiedBy/>
  <dcterms:modified xsi:type="dcterms:W3CDTF">2026-04-21T19:02:11Z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