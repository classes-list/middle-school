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f-Life Decay" sheetId="1" state="visible" r:id="rId1"/>
    <sheet xmlns:r="http://schemas.openxmlformats.org/officeDocument/2006/relationships" name="Drug Comparison" sheetId="2" state="visible" r:id="rId2"/>
    <sheet xmlns:r="http://schemas.openxmlformats.org/officeDocument/2006/relationships" name="Pediatric Dosing" sheetId="3" state="visible" r:id="rId3"/>
    <sheet xmlns:r="http://schemas.openxmlformats.org/officeDocument/2006/relationships" name="MEC Interv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&quot;%&quot;"/>
    <numFmt numFmtId="166" formatCode="0.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6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Half-Life Decay Table</t>
        </is>
      </c>
    </row>
    <row r="2" ht="18" customHeight="1">
      <c r="A2" s="2" t="inlineStr">
        <is>
          <t>Fraction remaining over half-lives</t>
        </is>
      </c>
    </row>
    <row r="3" ht="32" customHeight="1">
      <c r="A3" s="3" t="inlineStr">
        <is>
          <t>Half-life #</t>
        </is>
      </c>
      <c r="B3" s="3" t="inlineStr">
        <is>
          <t>Fraction remaining</t>
        </is>
      </c>
      <c r="C3" s="3" t="inlineStr">
        <is>
          <t>Percent</t>
        </is>
      </c>
      <c r="D3" s="3" t="inlineStr">
        <is>
          <t>Amount from 400 mg</t>
        </is>
      </c>
    </row>
    <row r="4">
      <c r="A4" s="4" t="n">
        <v>0</v>
      </c>
      <c r="B4" s="5">
        <f>0.5^A4</f>
        <v/>
      </c>
      <c r="C4" s="6">
        <f>B4*100</f>
        <v/>
      </c>
      <c r="D4" s="7">
        <f>400*B4</f>
        <v/>
      </c>
    </row>
    <row r="5">
      <c r="A5" s="4" t="n">
        <v>1</v>
      </c>
      <c r="B5" s="5">
        <f>0.5^A5</f>
        <v/>
      </c>
      <c r="C5" s="6">
        <f>B5*100</f>
        <v/>
      </c>
      <c r="D5" s="7">
        <f>400*B5</f>
        <v/>
      </c>
    </row>
    <row r="6">
      <c r="A6" s="4" t="n">
        <v>2</v>
      </c>
      <c r="B6" s="5">
        <f>0.5^A6</f>
        <v/>
      </c>
      <c r="C6" s="6">
        <f>B6*100</f>
        <v/>
      </c>
      <c r="D6" s="7">
        <f>400*B6</f>
        <v/>
      </c>
    </row>
    <row r="7">
      <c r="A7" s="4" t="n">
        <v>3</v>
      </c>
      <c r="B7" s="5">
        <f>0.5^A7</f>
        <v/>
      </c>
      <c r="C7" s="6">
        <f>B7*100</f>
        <v/>
      </c>
      <c r="D7" s="7">
        <f>400*B7</f>
        <v/>
      </c>
    </row>
    <row r="8">
      <c r="A8" s="4" t="n">
        <v>4</v>
      </c>
      <c r="B8" s="5">
        <f>0.5^A8</f>
        <v/>
      </c>
      <c r="C8" s="6">
        <f>B8*100</f>
        <v/>
      </c>
      <c r="D8" s="7">
        <f>400*B8</f>
        <v/>
      </c>
    </row>
    <row r="9">
      <c r="A9" s="4" t="n">
        <v>5</v>
      </c>
      <c r="B9" s="5">
        <f>0.5^A9</f>
        <v/>
      </c>
      <c r="C9" s="6">
        <f>B9*100</f>
        <v/>
      </c>
      <c r="D9" s="7">
        <f>400*B9</f>
        <v/>
      </c>
    </row>
    <row r="10">
      <c r="A10" s="4" t="n">
        <v>6</v>
      </c>
      <c r="B10" s="5">
        <f>0.5^A10</f>
        <v/>
      </c>
      <c r="C10" s="6">
        <f>B10*100</f>
        <v/>
      </c>
      <c r="D10" s="7">
        <f>400*B10</f>
        <v/>
      </c>
    </row>
    <row r="11">
      <c r="A11" s="4" t="n">
        <v>7</v>
      </c>
      <c r="B11" s="5">
        <f>0.5^A11</f>
        <v/>
      </c>
      <c r="C11" s="6">
        <f>B11*100</f>
        <v/>
      </c>
      <c r="D11" s="7">
        <f>400*B11</f>
        <v/>
      </c>
    </row>
    <row r="12">
      <c r="A12" s="4" t="n">
        <v>8</v>
      </c>
      <c r="B12" s="5">
        <f>0.5^A12</f>
        <v/>
      </c>
      <c r="C12" s="6">
        <f>B12*100</f>
        <v/>
      </c>
      <c r="D12" s="7">
        <f>400*B12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Drug Reference (6 common meds)</t>
        </is>
      </c>
    </row>
    <row r="2" ht="18" customHeight="1">
      <c r="A2" s="2" t="inlineStr">
        <is>
          <t>Half-life, 5-half-life clearance</t>
        </is>
      </c>
    </row>
    <row r="3" ht="32" customHeight="1">
      <c r="A3" s="3" t="inlineStr">
        <is>
          <t>Drug</t>
        </is>
      </c>
      <c r="B3" s="3" t="inlineStr">
        <is>
          <t>Dose (mg)</t>
        </is>
      </c>
      <c r="C3" s="3" t="inlineStr">
        <is>
          <t>Half-life (hr)</t>
        </is>
      </c>
      <c r="D3" s="3" t="inlineStr">
        <is>
          <t>Time @ 5 t½</t>
        </is>
      </c>
      <c r="E3" s="3" t="inlineStr">
        <is>
          <t>Amount @ 5 t½</t>
        </is>
      </c>
    </row>
    <row r="4">
      <c r="A4" s="4" t="inlineStr">
        <is>
          <t>Acetaminophen</t>
        </is>
      </c>
      <c r="B4" s="4" t="n">
        <v>500</v>
      </c>
      <c r="C4" s="4" t="n">
        <v>3</v>
      </c>
      <c r="D4" s="8">
        <f>C4*5</f>
        <v/>
      </c>
      <c r="E4" s="9">
        <f>B4*0.5^5</f>
        <v/>
      </c>
    </row>
    <row r="5">
      <c r="A5" s="4" t="inlineStr">
        <is>
          <t>Ibuprofen</t>
        </is>
      </c>
      <c r="B5" s="4" t="n">
        <v>400</v>
      </c>
      <c r="C5" s="4" t="n">
        <v>2</v>
      </c>
      <c r="D5" s="8">
        <f>C5*5</f>
        <v/>
      </c>
      <c r="E5" s="9">
        <f>B5*0.5^5</f>
        <v/>
      </c>
    </row>
    <row r="6">
      <c r="A6" s="4" t="inlineStr">
        <is>
          <t>Amoxicillin</t>
        </is>
      </c>
      <c r="B6" s="4" t="n">
        <v>500</v>
      </c>
      <c r="C6" s="4" t="n">
        <v>1.5</v>
      </c>
      <c r="D6" s="8">
        <f>C6*5</f>
        <v/>
      </c>
      <c r="E6" s="9">
        <f>B6*0.5^5</f>
        <v/>
      </c>
    </row>
    <row r="7">
      <c r="A7" s="4" t="inlineStr">
        <is>
          <t>Diphenhydramine</t>
        </is>
      </c>
      <c r="B7" s="4" t="n">
        <v>25</v>
      </c>
      <c r="C7" s="4" t="n">
        <v>9</v>
      </c>
      <c r="D7" s="8">
        <f>C7*5</f>
        <v/>
      </c>
      <c r="E7" s="9">
        <f>B7*0.5^5</f>
        <v/>
      </c>
    </row>
    <row r="8">
      <c r="A8" s="4" t="inlineStr">
        <is>
          <t>Caffeine</t>
        </is>
      </c>
      <c r="B8" s="4" t="n">
        <v>100</v>
      </c>
      <c r="C8" s="4" t="n">
        <v>5</v>
      </c>
      <c r="D8" s="8">
        <f>C8*5</f>
        <v/>
      </c>
      <c r="E8" s="9">
        <f>B8*0.5^5</f>
        <v/>
      </c>
    </row>
    <row r="9">
      <c r="A9" s="4" t="inlineStr">
        <is>
          <t>Warfarin</t>
        </is>
      </c>
      <c r="B9" s="4" t="n">
        <v>5</v>
      </c>
      <c r="C9" s="4" t="n">
        <v>40</v>
      </c>
      <c r="D9" s="8">
        <f>C9*5</f>
        <v/>
      </c>
      <c r="E9" s="9">
        <f>B9*0.5^5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Pediatric Dosing Calculator</t>
        </is>
      </c>
    </row>
    <row r="2" ht="18" customHeight="1">
      <c r="A2" s="2" t="inlineStr">
        <is>
          <t>Weight × dose + time decay</t>
        </is>
      </c>
    </row>
    <row r="3" ht="32" customHeight="1">
      <c r="A3" s="3" t="inlineStr">
        <is>
          <t>Patient</t>
        </is>
      </c>
      <c r="B3" s="3" t="inlineStr">
        <is>
          <t>Weight (kg)</t>
        </is>
      </c>
      <c r="C3" s="3" t="inlineStr">
        <is>
          <t>Drug</t>
        </is>
      </c>
      <c r="D3" s="3" t="inlineStr">
        <is>
          <t>Dose (mg/kg)</t>
        </is>
      </c>
      <c r="E3" s="3" t="inlineStr">
        <is>
          <t>Total</t>
        </is>
      </c>
      <c r="F3" s="3" t="inlineStr">
        <is>
          <t>Half-life</t>
        </is>
      </c>
      <c r="G3" s="3" t="inlineStr">
        <is>
          <t>Amount @ 4h</t>
        </is>
      </c>
      <c r="H3" s="3" t="inlineStr">
        <is>
          <t>Amount @ 8h</t>
        </is>
      </c>
    </row>
    <row r="4">
      <c r="A4" s="4" t="inlineStr">
        <is>
          <t>Kenji</t>
        </is>
      </c>
      <c r="B4" s="4" t="n">
        <v>12</v>
      </c>
      <c r="C4" s="4" t="inlineStr">
        <is>
          <t>Acetaminophen</t>
        </is>
      </c>
      <c r="D4" s="4" t="n">
        <v>15</v>
      </c>
      <c r="E4" s="8">
        <f>B4*D4</f>
        <v/>
      </c>
      <c r="F4" s="4" t="n">
        <v>3</v>
      </c>
      <c r="G4" s="7">
        <f>E4*0.5^(4/F4)</f>
        <v/>
      </c>
      <c r="H4" s="7">
        <f>E4*0.5^(8/F4)</f>
        <v/>
      </c>
    </row>
    <row r="5">
      <c r="A5" s="4" t="inlineStr">
        <is>
          <t>Leilani</t>
        </is>
      </c>
      <c r="B5" s="4" t="n">
        <v>24</v>
      </c>
      <c r="C5" s="4" t="inlineStr">
        <is>
          <t>Ibuprofen</t>
        </is>
      </c>
      <c r="D5" s="4" t="n">
        <v>10</v>
      </c>
      <c r="E5" s="8">
        <f>B5*D5</f>
        <v/>
      </c>
      <c r="F5" s="4" t="n">
        <v>2</v>
      </c>
      <c r="G5" s="7">
        <f>E5*0.5^(4/F5)</f>
        <v/>
      </c>
      <c r="H5" s="7">
        <f>E5*0.5^(8/F5)</f>
        <v/>
      </c>
    </row>
    <row r="6">
      <c r="A6" s="4" t="inlineStr">
        <is>
          <t>Noah</t>
        </is>
      </c>
      <c r="B6" s="4" t="n">
        <v>18</v>
      </c>
      <c r="C6" s="4" t="inlineStr">
        <is>
          <t>Amoxicillin</t>
        </is>
      </c>
      <c r="D6" s="4" t="n">
        <v>25</v>
      </c>
      <c r="E6" s="8">
        <f>B6*D6</f>
        <v/>
      </c>
      <c r="F6" s="4" t="n">
        <v>1.5</v>
      </c>
      <c r="G6" s="7">
        <f>E6*0.5^(4/F6)</f>
        <v/>
      </c>
      <c r="H6" s="7">
        <f>E6*0.5^(8/F6)</f>
        <v/>
      </c>
    </row>
    <row r="7">
      <c r="A7" s="4" t="inlineStr">
        <is>
          <t>Alani</t>
        </is>
      </c>
      <c r="B7" s="4" t="n">
        <v>32</v>
      </c>
      <c r="C7" s="4" t="inlineStr">
        <is>
          <t>Diphenhydramine</t>
        </is>
      </c>
      <c r="D7" s="4" t="n">
        <v>1.25</v>
      </c>
      <c r="E7" s="8">
        <f>B7*D7</f>
        <v/>
      </c>
      <c r="F7" s="4" t="n">
        <v>9</v>
      </c>
      <c r="G7" s="7">
        <f>E7*0.5^(4/F7)</f>
        <v/>
      </c>
      <c r="H7" s="7">
        <f>E7*0.5^(8/F7)</f>
        <v/>
      </c>
    </row>
    <row r="8">
      <c r="A8" s="4" t="inlineStr">
        <is>
          <t>Kai</t>
        </is>
      </c>
      <c r="B8" s="4" t="n">
        <v>45</v>
      </c>
      <c r="C8" s="4" t="inlineStr">
        <is>
          <t>Caffeine</t>
        </is>
      </c>
      <c r="D8" s="4" t="n">
        <v>2.5</v>
      </c>
      <c r="E8" s="8">
        <f>B8*D8</f>
        <v/>
      </c>
      <c r="F8" s="4" t="n">
        <v>5</v>
      </c>
      <c r="G8" s="7">
        <f>E8*0.5^(4/F8)</f>
        <v/>
      </c>
      <c r="H8" s="7">
        <f>E8*0.5^(8/F8)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 ht="26" customHeight="1">
      <c r="A1" s="1" t="inlineStr">
        <is>
          <t>Minimum Effective Concentration</t>
        </is>
      </c>
    </row>
    <row r="2" ht="18" customHeight="1">
      <c r="A2" s="2" t="inlineStr">
        <is>
          <t>Drug level above MEC</t>
        </is>
      </c>
    </row>
    <row r="3" ht="32" customHeight="1">
      <c r="A3" s="3" t="inlineStr">
        <is>
          <t>Hours after dose</t>
        </is>
      </c>
      <c r="B3" s="3" t="inlineStr">
        <is>
          <t>Level (mg/L)</t>
        </is>
      </c>
      <c r="C3" s="3" t="inlineStr">
        <is>
          <t>Above MEC (4 mg/L)?</t>
        </is>
      </c>
    </row>
    <row r="4">
      <c r="A4" s="4" t="n">
        <v>0</v>
      </c>
      <c r="B4" s="7">
        <f>10*0.5^(A4/4)</f>
        <v/>
      </c>
      <c r="C4" s="8">
        <f>IF(B4&gt;=4,"✅","⚠ Below")</f>
        <v/>
      </c>
    </row>
    <row r="5">
      <c r="A5" s="4" t="n">
        <v>1</v>
      </c>
      <c r="B5" s="7">
        <f>10*0.5^(A5/4)</f>
        <v/>
      </c>
      <c r="C5" s="8">
        <f>IF(B5&gt;=4,"✅","⚠ Below")</f>
        <v/>
      </c>
    </row>
    <row r="6">
      <c r="A6" s="4" t="n">
        <v>2</v>
      </c>
      <c r="B6" s="7">
        <f>10*0.5^(A6/4)</f>
        <v/>
      </c>
      <c r="C6" s="8">
        <f>IF(B6&gt;=4,"✅","⚠ Below")</f>
        <v/>
      </c>
    </row>
    <row r="7">
      <c r="A7" s="4" t="n">
        <v>3</v>
      </c>
      <c r="B7" s="7">
        <f>10*0.5^(A7/4)</f>
        <v/>
      </c>
      <c r="C7" s="8">
        <f>IF(B7&gt;=4,"✅","⚠ Below")</f>
        <v/>
      </c>
    </row>
    <row r="8">
      <c r="A8" s="4" t="n">
        <v>4</v>
      </c>
      <c r="B8" s="7">
        <f>10*0.5^(A8/4)</f>
        <v/>
      </c>
      <c r="C8" s="8">
        <f>IF(B8&gt;=4,"✅","⚠ Below")</f>
        <v/>
      </c>
    </row>
    <row r="9">
      <c r="A9" s="4" t="n">
        <v>5</v>
      </c>
      <c r="B9" s="7">
        <f>10*0.5^(A9/4)</f>
        <v/>
      </c>
      <c r="C9" s="8">
        <f>IF(B9&gt;=4,"✅","⚠ Below")</f>
        <v/>
      </c>
    </row>
    <row r="10">
      <c r="A10" s="4" t="n">
        <v>6</v>
      </c>
      <c r="B10" s="7">
        <f>10*0.5^(A10/4)</f>
        <v/>
      </c>
      <c r="C10" s="8">
        <f>IF(B10&gt;=4,"✅","⚠ Below")</f>
        <v/>
      </c>
    </row>
    <row r="11">
      <c r="A11" s="4" t="n">
        <v>7</v>
      </c>
      <c r="B11" s="7">
        <f>10*0.5^(A11/4)</f>
        <v/>
      </c>
      <c r="C11" s="8">
        <f>IF(B11&gt;=4,"✅","⚠ Below")</f>
        <v/>
      </c>
    </row>
    <row r="12">
      <c r="A12" s="4" t="n">
        <v>8</v>
      </c>
      <c r="B12" s="7">
        <f>10*0.5^(A12/4)</f>
        <v/>
      </c>
      <c r="C12" s="8">
        <f>IF(B12&gt;=4,"✅","⚠ Below")</f>
        <v/>
      </c>
    </row>
    <row r="13">
      <c r="A13" s="4" t="n">
        <v>9</v>
      </c>
      <c r="B13" s="7">
        <f>10*0.5^(A13/4)</f>
        <v/>
      </c>
      <c r="C13" s="8">
        <f>IF(B13&gt;=4,"✅","⚠ Below")</f>
        <v/>
      </c>
    </row>
    <row r="14">
      <c r="A14" s="4" t="n">
        <v>10</v>
      </c>
      <c r="B14" s="7">
        <f>10*0.5^(A14/4)</f>
        <v/>
      </c>
      <c r="C14" s="8">
        <f>IF(B14&gt;=4,"✅","⚠ Below")</f>
        <v/>
      </c>
    </row>
    <row r="15">
      <c r="A15" s="4" t="n">
        <v>11</v>
      </c>
      <c r="B15" s="7">
        <f>10*0.5^(A15/4)</f>
        <v/>
      </c>
      <c r="C15" s="8">
        <f>IF(B15&gt;=4,"✅","⚠ Below")</f>
        <v/>
      </c>
    </row>
    <row r="16">
      <c r="A16" s="4" t="n">
        <v>12</v>
      </c>
      <c r="B16" s="7">
        <f>10*0.5^(A16/4)</f>
        <v/>
      </c>
      <c r="C16" s="8">
        <f>IF(B16&gt;=4,"✅","⚠ Below")</f>
        <v/>
      </c>
    </row>
    <row r="17">
      <c r="A17" s="4" t="n">
        <v>13</v>
      </c>
      <c r="B17" s="7">
        <f>10*0.5^(A17/4)</f>
        <v/>
      </c>
      <c r="C17" s="8">
        <f>IF(B17&gt;=4,"✅","⚠ Below")</f>
        <v/>
      </c>
    </row>
    <row r="18">
      <c r="A18" s="4" t="n">
        <v>14</v>
      </c>
      <c r="B18" s="7">
        <f>10*0.5^(A18/4)</f>
        <v/>
      </c>
      <c r="C18" s="8">
        <f>IF(B18&gt;=4,"✅","⚠ Below")</f>
        <v/>
      </c>
    </row>
    <row r="19">
      <c r="A19" s="4" t="n">
        <v>15</v>
      </c>
      <c r="B19" s="7">
        <f>10*0.5^(A19/4)</f>
        <v/>
      </c>
      <c r="C19" s="8">
        <f>IF(B19&gt;=4,"✅","⚠ Below")</f>
        <v/>
      </c>
    </row>
    <row r="20">
      <c r="A20" s="4" t="n">
        <v>16</v>
      </c>
      <c r="B20" s="7">
        <f>10*0.5^(A20/4)</f>
        <v/>
      </c>
      <c r="C20" s="8">
        <f>IF(B20&gt;=4,"✅","⚠ Below")</f>
        <v/>
      </c>
    </row>
    <row r="21">
      <c r="A21" s="4" t="n">
        <v>17</v>
      </c>
      <c r="B21" s="7">
        <f>10*0.5^(A21/4)</f>
        <v/>
      </c>
      <c r="C21" s="8">
        <f>IF(B21&gt;=4,"✅","⚠ Below")</f>
        <v/>
      </c>
    </row>
    <row r="22">
      <c r="A22" s="4" t="n">
        <v>18</v>
      </c>
      <c r="B22" s="7">
        <f>10*0.5^(A22/4)</f>
        <v/>
      </c>
      <c r="C22" s="8">
        <f>IF(B22&gt;=4,"✅","⚠ Below")</f>
        <v/>
      </c>
    </row>
    <row r="23">
      <c r="A23" s="4" t="n">
        <v>19</v>
      </c>
      <c r="B23" s="7">
        <f>10*0.5^(A23/4)</f>
        <v/>
      </c>
      <c r="C23" s="8">
        <f>IF(B23&gt;=4,"✅","⚠ Below")</f>
        <v/>
      </c>
    </row>
    <row r="24">
      <c r="A24" s="4" t="n">
        <v>20</v>
      </c>
      <c r="B24" s="7">
        <f>10*0.5^(A24/4)</f>
        <v/>
      </c>
      <c r="C24" s="8">
        <f>IF(B24&gt;=4,"✅","⚠ Below")</f>
        <v/>
      </c>
    </row>
    <row r="25">
      <c r="A25" s="4" t="n">
        <v>21</v>
      </c>
      <c r="B25" s="7">
        <f>10*0.5^(A25/4)</f>
        <v/>
      </c>
      <c r="C25" s="8">
        <f>IF(B25&gt;=4,"✅","⚠ Below")</f>
        <v/>
      </c>
    </row>
    <row r="26">
      <c r="A26" s="4" t="n">
        <v>22</v>
      </c>
      <c r="B26" s="7">
        <f>10*0.5^(A26/4)</f>
        <v/>
      </c>
      <c r="C26" s="8">
        <f>IF(B26&gt;=4,"✅","⚠ Below")</f>
        <v/>
      </c>
    </row>
    <row r="27">
      <c r="A27" s="4" t="n">
        <v>23</v>
      </c>
      <c r="B27" s="7">
        <f>10*0.5^(A27/4)</f>
        <v/>
      </c>
      <c r="C27" s="8">
        <f>IF(B27&gt;=4,"✅","⚠ Below")</f>
        <v/>
      </c>
    </row>
    <row r="28">
      <c r="A28" s="4" t="n">
        <v>24</v>
      </c>
      <c r="B28" s="7">
        <f>10*0.5^(A28/4)</f>
        <v/>
      </c>
      <c r="C28" s="8">
        <f>IF(B28&gt;=4,"✅","⚠ Below")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2026-04-21T19:20:43Z</dcterms:created>
  <dcterms:modified xmlns:dcterms="http://purl.org/dc/terms/" xmlns:xsi="http://www.w3.org/2001/XMLSchema-instance" xsi:type="dcterms:W3CDTF">2026-04-21T19:20:43Z</dcterms:modified>
</cp:coreProperties>
</file>