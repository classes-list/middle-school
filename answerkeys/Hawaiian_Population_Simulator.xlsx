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nential Growth" sheetId="1" state="visible" r:id="rId1"/>
    <sheet xmlns:r="http://schemas.openxmlformats.org/officeDocument/2006/relationships" name="Doubling Time" sheetId="2" state="visible" r:id="rId2"/>
    <sheet xmlns:r="http://schemas.openxmlformats.org/officeDocument/2006/relationships" name="Logistic" sheetId="3" state="visible" r:id="rId3"/>
    <sheet xmlns:r="http://schemas.openxmlformats.org/officeDocument/2006/relationships" name="Predator-Prey" sheetId="4" state="visible" r:id="rId4"/>
    <sheet xmlns:r="http://schemas.openxmlformats.org/officeDocument/2006/relationships" name="Endangered Ale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/>
    </xf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Exponential Growth (A doubles, B ×1.5)</t>
        </is>
      </c>
    </row>
    <row r="2" ht="18" customHeight="1">
      <c r="A2" s="2" t="inlineStr">
        <is>
          <t>Populations A and B over 10 periods</t>
        </is>
      </c>
    </row>
    <row r="3" ht="32" customHeight="1">
      <c r="A3" s="3" t="inlineStr">
        <is>
          <t>Period</t>
        </is>
      </c>
      <c r="B3" s="3" t="inlineStr">
        <is>
          <t>Population A (×2)</t>
        </is>
      </c>
      <c r="C3" s="3" t="inlineStr">
        <is>
          <t>Population B (×1.5)</t>
        </is>
      </c>
    </row>
    <row r="4">
      <c r="A4" s="4" t="n">
        <v>0</v>
      </c>
      <c r="B4" s="4" t="n">
        <v>100</v>
      </c>
      <c r="C4" s="4" t="n">
        <v>100</v>
      </c>
    </row>
    <row r="5">
      <c r="A5" s="4" t="n">
        <v>1</v>
      </c>
      <c r="B5" s="5">
        <f>B4*2</f>
        <v/>
      </c>
      <c r="C5" s="5">
        <f>C4*1.5</f>
        <v/>
      </c>
    </row>
    <row r="6">
      <c r="A6" s="4" t="n">
        <v>2</v>
      </c>
      <c r="B6" s="5">
        <f>B5*2</f>
        <v/>
      </c>
      <c r="C6" s="5">
        <f>C5*1.5</f>
        <v/>
      </c>
    </row>
    <row r="7">
      <c r="A7" s="4" t="n">
        <v>3</v>
      </c>
      <c r="B7" s="5">
        <f>B6*2</f>
        <v/>
      </c>
      <c r="C7" s="5">
        <f>C6*1.5</f>
        <v/>
      </c>
    </row>
    <row r="8">
      <c r="A8" s="4" t="n">
        <v>4</v>
      </c>
      <c r="B8" s="5">
        <f>B7*2</f>
        <v/>
      </c>
      <c r="C8" s="5">
        <f>C7*1.5</f>
        <v/>
      </c>
    </row>
    <row r="9">
      <c r="A9" s="4" t="n">
        <v>5</v>
      </c>
      <c r="B9" s="5">
        <f>B8*2</f>
        <v/>
      </c>
      <c r="C9" s="5">
        <f>C8*1.5</f>
        <v/>
      </c>
    </row>
    <row r="10">
      <c r="A10" s="4" t="n">
        <v>6</v>
      </c>
      <c r="B10" s="5">
        <f>B9*2</f>
        <v/>
      </c>
      <c r="C10" s="5">
        <f>C9*1.5</f>
        <v/>
      </c>
    </row>
    <row r="11">
      <c r="A11" s="4" t="n">
        <v>7</v>
      </c>
      <c r="B11" s="5">
        <f>B10*2</f>
        <v/>
      </c>
      <c r="C11" s="5">
        <f>C10*1.5</f>
        <v/>
      </c>
    </row>
    <row r="12">
      <c r="A12" s="4" t="n">
        <v>8</v>
      </c>
      <c r="B12" s="5">
        <f>B11*2</f>
        <v/>
      </c>
      <c r="C12" s="5">
        <f>C11*1.5</f>
        <v/>
      </c>
    </row>
    <row r="13">
      <c r="A13" s="4" t="n">
        <v>9</v>
      </c>
      <c r="B13" s="5">
        <f>B12*2</f>
        <v/>
      </c>
      <c r="C13" s="5">
        <f>C12*1.5</f>
        <v/>
      </c>
    </row>
    <row r="14">
      <c r="A14" s="4" t="n">
        <v>10</v>
      </c>
      <c r="B14" s="5">
        <f>B13*2</f>
        <v/>
      </c>
      <c r="C14" s="5">
        <f>C13*1.5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4" customWidth="1" min="4" max="4"/>
  </cols>
  <sheetData>
    <row r="1" ht="26" customHeight="1">
      <c r="A1" s="1" t="inlineStr">
        <is>
          <t>Doubling Time (Rule of 70)</t>
        </is>
      </c>
    </row>
    <row r="2" ht="18" customHeight="1">
      <c r="A2" s="2" t="inlineStr">
        <is>
          <t>Growth rate → doubling years</t>
        </is>
      </c>
    </row>
    <row r="3" ht="32" customHeight="1">
      <c r="A3" s="3" t="inlineStr">
        <is>
          <t>Species</t>
        </is>
      </c>
      <c r="B3" s="3" t="inlineStr">
        <is>
          <t>Annual Rate %</t>
        </is>
      </c>
      <c r="C3" s="3" t="inlineStr">
        <is>
          <t>Doubling Time (yr)</t>
        </is>
      </c>
      <c r="D3" s="3" t="inlineStr">
        <is>
          <t>Pop. in 50 yr (from 1000)</t>
        </is>
      </c>
    </row>
    <row r="4">
      <c r="A4" s="4" t="inlineStr">
        <is>
          <t>Rabbit</t>
        </is>
      </c>
      <c r="B4" s="4" t="n">
        <v>35</v>
      </c>
      <c r="C4" s="6">
        <f>70/B4</f>
        <v/>
      </c>
      <c r="D4" s="7">
        <f>1000*(1+B4/100)^50</f>
        <v/>
      </c>
    </row>
    <row r="5">
      <c r="A5" s="4" t="inlineStr">
        <is>
          <t>Mouse</t>
        </is>
      </c>
      <c r="B5" s="4" t="n">
        <v>25</v>
      </c>
      <c r="C5" s="6">
        <f>70/B5</f>
        <v/>
      </c>
      <c r="D5" s="7">
        <f>1000*(1+B5/100)^50</f>
        <v/>
      </c>
    </row>
    <row r="6">
      <c r="A6" s="4" t="inlineStr">
        <is>
          <t>Coqui Frog</t>
        </is>
      </c>
      <c r="B6" s="4" t="n">
        <v>18</v>
      </c>
      <c r="C6" s="6">
        <f>70/B6</f>
        <v/>
      </c>
      <c r="D6" s="7">
        <f>1000*(1+B6/100)^50</f>
        <v/>
      </c>
    </row>
    <row r="7">
      <c r="A7" s="4" t="inlineStr">
        <is>
          <t>Fire Ant</t>
        </is>
      </c>
      <c r="B7" s="4" t="n">
        <v>40</v>
      </c>
      <c r="C7" s="6">
        <f>70/B7</f>
        <v/>
      </c>
      <c r="D7" s="7">
        <f>1000*(1+B7/100)^50</f>
        <v/>
      </c>
    </row>
    <row r="8">
      <c r="A8" s="4" t="inlineStr">
        <is>
          <t>Mongoose</t>
        </is>
      </c>
      <c r="B8" s="4" t="n">
        <v>10</v>
      </c>
      <c r="C8" s="6">
        <f>70/B8</f>
        <v/>
      </c>
      <c r="D8" s="7">
        <f>1000*(1+B8/100)^50</f>
        <v/>
      </c>
    </row>
    <row r="9">
      <c r="A9" s="4" t="inlineStr">
        <is>
          <t>Axis Deer</t>
        </is>
      </c>
      <c r="B9" s="4" t="n">
        <v>7</v>
      </c>
      <c r="C9" s="6">
        <f>70/B9</f>
        <v/>
      </c>
      <c r="D9" s="7">
        <f>1000*(1+B9/100)^50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Logistic Growth (K=1000, r=0.5)</t>
        </is>
      </c>
    </row>
    <row r="2" ht="18" customHeight="1">
      <c r="A2" s="2" t="inlineStr">
        <is>
          <t>P→K</t>
        </is>
      </c>
    </row>
    <row r="3" ht="32" customHeight="1">
      <c r="A3" s="3" t="inlineStr">
        <is>
          <t>Year</t>
        </is>
      </c>
      <c r="B3" s="3" t="inlineStr">
        <is>
          <t>Population</t>
        </is>
      </c>
    </row>
    <row r="4">
      <c r="A4" s="8" t="n">
        <v>1</v>
      </c>
      <c r="B4" s="8" t="n">
        <v>100</v>
      </c>
    </row>
    <row r="5">
      <c r="A5" s="8" t="n">
        <v>2</v>
      </c>
      <c r="B5" s="9">
        <f>B4+0.5*B4*(1-B4/1000)</f>
        <v/>
      </c>
    </row>
    <row r="6">
      <c r="A6" s="8" t="n">
        <v>3</v>
      </c>
      <c r="B6" s="9">
        <f>B5+0.5*B5*(1-B5/1000)</f>
        <v/>
      </c>
    </row>
    <row r="7">
      <c r="A7" s="8" t="n">
        <v>4</v>
      </c>
      <c r="B7" s="9">
        <f>B6+0.5*B6*(1-B6/1000)</f>
        <v/>
      </c>
    </row>
    <row r="8">
      <c r="A8" s="8" t="n">
        <v>5</v>
      </c>
      <c r="B8" s="9">
        <f>B7+0.5*B7*(1-B7/1000)</f>
        <v/>
      </c>
    </row>
    <row r="9">
      <c r="A9" s="8" t="n">
        <v>6</v>
      </c>
      <c r="B9" s="9">
        <f>B8+0.5*B8*(1-B8/1000)</f>
        <v/>
      </c>
    </row>
    <row r="10">
      <c r="A10" s="8" t="n">
        <v>7</v>
      </c>
      <c r="B10" s="9">
        <f>B9+0.5*B9*(1-B9/1000)</f>
        <v/>
      </c>
    </row>
    <row r="11">
      <c r="A11" s="8" t="n">
        <v>8</v>
      </c>
      <c r="B11" s="9">
        <f>B10+0.5*B10*(1-B10/1000)</f>
        <v/>
      </c>
    </row>
    <row r="12">
      <c r="A12" s="8" t="n">
        <v>9</v>
      </c>
      <c r="B12" s="9">
        <f>B11+0.5*B11*(1-B11/1000)</f>
        <v/>
      </c>
    </row>
    <row r="13">
      <c r="A13" s="8" t="n">
        <v>10</v>
      </c>
      <c r="B13" s="9">
        <f>B12+0.5*B12*(1-B12/1000)</f>
        <v/>
      </c>
    </row>
    <row r="14">
      <c r="A14" s="8" t="n">
        <v>11</v>
      </c>
      <c r="B14" s="9">
        <f>B13+0.5*B13*(1-B13/1000)</f>
        <v/>
      </c>
    </row>
    <row r="15">
      <c r="A15" s="8" t="n">
        <v>12</v>
      </c>
      <c r="B15" s="9">
        <f>B14+0.5*B14*(1-B14/1000)</f>
        <v/>
      </c>
    </row>
    <row r="16">
      <c r="A16" s="8" t="n">
        <v>13</v>
      </c>
      <c r="B16" s="9">
        <f>B15+0.5*B15*(1-B15/1000)</f>
        <v/>
      </c>
    </row>
    <row r="17">
      <c r="A17" s="8" t="n">
        <v>14</v>
      </c>
      <c r="B17" s="9">
        <f>B16+0.5*B16*(1-B16/1000)</f>
        <v/>
      </c>
    </row>
    <row r="18">
      <c r="A18" s="8" t="n">
        <v>15</v>
      </c>
      <c r="B18" s="9">
        <f>B17+0.5*B17*(1-B17/1000)</f>
        <v/>
      </c>
    </row>
    <row r="19">
      <c r="A19" s="8" t="n">
        <v>16</v>
      </c>
      <c r="B19" s="9">
        <f>B18+0.5*B18*(1-B18/1000)</f>
        <v/>
      </c>
    </row>
    <row r="20">
      <c r="A20" s="8" t="n">
        <v>17</v>
      </c>
      <c r="B20" s="9">
        <f>B19+0.5*B19*(1-B19/1000)</f>
        <v/>
      </c>
    </row>
    <row r="21">
      <c r="A21" s="8" t="n">
        <v>18</v>
      </c>
      <c r="B21" s="9">
        <f>B20+0.5*B20*(1-B20/1000)</f>
        <v/>
      </c>
    </row>
    <row r="22">
      <c r="A22" s="8" t="n">
        <v>19</v>
      </c>
      <c r="B22" s="9">
        <f>B21+0.5*B21*(1-B21/1000)</f>
        <v/>
      </c>
    </row>
    <row r="23">
      <c r="A23" s="8" t="n">
        <v>20</v>
      </c>
      <c r="B23" s="9">
        <f>B22+0.5*B22*(1-B22/1000)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Simplified Predator-Prey (20 years)</t>
        </is>
      </c>
    </row>
    <row r="2" ht="18" customHeight="1">
      <c r="A2" s="2" t="inlineStr">
        <is>
          <t>Prey × 1.1 − 0.02·Pred·Prey; Pred × 0.9 + 0.001·Pred·Prey</t>
        </is>
      </c>
    </row>
    <row r="3" ht="32" customHeight="1">
      <c r="A3" s="3" t="inlineStr">
        <is>
          <t>Year</t>
        </is>
      </c>
      <c r="B3" s="3" t="inlineStr">
        <is>
          <t>Prey</t>
        </is>
      </c>
      <c r="C3" s="3" t="inlineStr">
        <is>
          <t>Predators</t>
        </is>
      </c>
    </row>
    <row r="4">
      <c r="A4" s="8" t="n">
        <v>1</v>
      </c>
      <c r="B4" s="8" t="n">
        <v>500</v>
      </c>
      <c r="C4" s="8" t="n">
        <v>50</v>
      </c>
    </row>
    <row r="5">
      <c r="A5" s="8" t="n">
        <v>2</v>
      </c>
      <c r="B5" s="10">
        <f>MAX(0,B4*1.1-0.02*C4*B4)</f>
        <v/>
      </c>
      <c r="C5" s="10">
        <f>MAX(0,C4*0.9+0.001*C4*B4)</f>
        <v/>
      </c>
    </row>
    <row r="6">
      <c r="A6" s="8" t="n">
        <v>3</v>
      </c>
      <c r="B6" s="10">
        <f>MAX(0,B5*1.1-0.02*C5*B5)</f>
        <v/>
      </c>
      <c r="C6" s="10">
        <f>MAX(0,C5*0.9+0.001*C5*B5)</f>
        <v/>
      </c>
    </row>
    <row r="7">
      <c r="A7" s="8" t="n">
        <v>4</v>
      </c>
      <c r="B7" s="10">
        <f>MAX(0,B6*1.1-0.02*C6*B6)</f>
        <v/>
      </c>
      <c r="C7" s="10">
        <f>MAX(0,C6*0.9+0.001*C6*B6)</f>
        <v/>
      </c>
    </row>
    <row r="8">
      <c r="A8" s="8" t="n">
        <v>5</v>
      </c>
      <c r="B8" s="10">
        <f>MAX(0,B7*1.1-0.02*C7*B7)</f>
        <v/>
      </c>
      <c r="C8" s="10">
        <f>MAX(0,C7*0.9+0.001*C7*B7)</f>
        <v/>
      </c>
    </row>
    <row r="9">
      <c r="A9" s="8" t="n">
        <v>6</v>
      </c>
      <c r="B9" s="10">
        <f>MAX(0,B8*1.1-0.02*C8*B8)</f>
        <v/>
      </c>
      <c r="C9" s="10">
        <f>MAX(0,C8*0.9+0.001*C8*B8)</f>
        <v/>
      </c>
    </row>
    <row r="10">
      <c r="A10" s="8" t="n">
        <v>7</v>
      </c>
      <c r="B10" s="10">
        <f>MAX(0,B9*1.1-0.02*C9*B9)</f>
        <v/>
      </c>
      <c r="C10" s="10">
        <f>MAX(0,C9*0.9+0.001*C9*B9)</f>
        <v/>
      </c>
    </row>
    <row r="11">
      <c r="A11" s="8" t="n">
        <v>8</v>
      </c>
      <c r="B11" s="10">
        <f>MAX(0,B10*1.1-0.02*C10*B10)</f>
        <v/>
      </c>
      <c r="C11" s="10">
        <f>MAX(0,C10*0.9+0.001*C10*B10)</f>
        <v/>
      </c>
    </row>
    <row r="12">
      <c r="A12" s="8" t="n">
        <v>9</v>
      </c>
      <c r="B12" s="10">
        <f>MAX(0,B11*1.1-0.02*C11*B11)</f>
        <v/>
      </c>
      <c r="C12" s="10">
        <f>MAX(0,C11*0.9+0.001*C11*B11)</f>
        <v/>
      </c>
    </row>
    <row r="13">
      <c r="A13" s="8" t="n">
        <v>10</v>
      </c>
      <c r="B13" s="10">
        <f>MAX(0,B12*1.1-0.02*C12*B12)</f>
        <v/>
      </c>
      <c r="C13" s="10">
        <f>MAX(0,C12*0.9+0.001*C12*B12)</f>
        <v/>
      </c>
    </row>
    <row r="14">
      <c r="A14" s="8" t="n">
        <v>11</v>
      </c>
      <c r="B14" s="10">
        <f>MAX(0,B13*1.1-0.02*C13*B13)</f>
        <v/>
      </c>
      <c r="C14" s="10">
        <f>MAX(0,C13*0.9+0.001*C13*B13)</f>
        <v/>
      </c>
    </row>
    <row r="15">
      <c r="A15" s="8" t="n">
        <v>12</v>
      </c>
      <c r="B15" s="10">
        <f>MAX(0,B14*1.1-0.02*C14*B14)</f>
        <v/>
      </c>
      <c r="C15" s="10">
        <f>MAX(0,C14*0.9+0.001*C14*B14)</f>
        <v/>
      </c>
    </row>
    <row r="16">
      <c r="A16" s="8" t="n">
        <v>13</v>
      </c>
      <c r="B16" s="10">
        <f>MAX(0,B15*1.1-0.02*C15*B15)</f>
        <v/>
      </c>
      <c r="C16" s="10">
        <f>MAX(0,C15*0.9+0.001*C15*B15)</f>
        <v/>
      </c>
    </row>
    <row r="17">
      <c r="A17" s="8" t="n">
        <v>14</v>
      </c>
      <c r="B17" s="10">
        <f>MAX(0,B16*1.1-0.02*C16*B16)</f>
        <v/>
      </c>
      <c r="C17" s="10">
        <f>MAX(0,C16*0.9+0.001*C16*B16)</f>
        <v/>
      </c>
    </row>
    <row r="18">
      <c r="A18" s="8" t="n">
        <v>15</v>
      </c>
      <c r="B18" s="10">
        <f>MAX(0,B17*1.1-0.02*C17*B17)</f>
        <v/>
      </c>
      <c r="C18" s="10">
        <f>MAX(0,C17*0.9+0.001*C17*B17)</f>
        <v/>
      </c>
    </row>
    <row r="19">
      <c r="A19" s="8" t="n">
        <v>16</v>
      </c>
      <c r="B19" s="10">
        <f>MAX(0,B18*1.1-0.02*C18*B18)</f>
        <v/>
      </c>
      <c r="C19" s="10">
        <f>MAX(0,C18*0.9+0.001*C18*B18)</f>
        <v/>
      </c>
    </row>
    <row r="20">
      <c r="A20" s="8" t="n">
        <v>17</v>
      </c>
      <c r="B20" s="10">
        <f>MAX(0,B19*1.1-0.02*C19*B19)</f>
        <v/>
      </c>
      <c r="C20" s="10">
        <f>MAX(0,C19*0.9+0.001*C19*B19)</f>
        <v/>
      </c>
    </row>
    <row r="21">
      <c r="A21" s="8" t="n">
        <v>18</v>
      </c>
      <c r="B21" s="10">
        <f>MAX(0,B20*1.1-0.02*C20*B20)</f>
        <v/>
      </c>
      <c r="C21" s="10">
        <f>MAX(0,C20*0.9+0.001*C20*B20)</f>
        <v/>
      </c>
    </row>
    <row r="22">
      <c r="A22" s="8" t="n">
        <v>19</v>
      </c>
      <c r="B22" s="10">
        <f>MAX(0,B21*1.1-0.02*C21*B21)</f>
        <v/>
      </c>
      <c r="C22" s="10">
        <f>MAX(0,C21*0.9+0.001*C21*B21)</f>
        <v/>
      </c>
    </row>
    <row r="23">
      <c r="A23" s="8" t="n">
        <v>20</v>
      </c>
      <c r="B23" s="10">
        <f>MAX(0,B22*1.1-0.02*C22*B22)</f>
        <v/>
      </c>
      <c r="C23" s="10">
        <f>MAX(0,C22*0.9+0.001*C22*B22)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26" customHeight="1">
      <c r="A1" s="1" t="inlineStr">
        <is>
          <t>Endangered Species Alert</t>
        </is>
      </c>
    </row>
    <row r="2" ht="18" customHeight="1">
      <c r="A2" s="2" t="inlineStr">
        <is>
          <t>1990 vs 2024</t>
        </is>
      </c>
    </row>
    <row r="3" ht="32" customHeight="1">
      <c r="A3" s="3" t="inlineStr">
        <is>
          <t>Species</t>
        </is>
      </c>
      <c r="B3" s="3" t="inlineStr">
        <is>
          <t>Pop 1990</t>
        </is>
      </c>
      <c r="C3" s="3" t="inlineStr">
        <is>
          <t>Pop 2024</t>
        </is>
      </c>
      <c r="D3" s="3" t="inlineStr">
        <is>
          <t>% Change</t>
        </is>
      </c>
      <c r="E3" s="3" t="inlineStr">
        <is>
          <t>Status</t>
        </is>
      </c>
    </row>
    <row r="4">
      <c r="A4" s="4" t="inlineStr">
        <is>
          <t>Hawaiian Monk Seal</t>
        </is>
      </c>
      <c r="B4" s="4" t="n">
        <v>1800</v>
      </c>
      <c r="C4" s="4" t="n">
        <v>1400</v>
      </c>
      <c r="D4" s="11">
        <f>(C4-B4)/B4*100</f>
        <v/>
      </c>
      <c r="E4" s="5">
        <f>IF(D4&gt;20,"📈 Growing",IF(D4&lt;-40,"🚨 Critical","⚠ Declining"))</f>
        <v/>
      </c>
    </row>
    <row r="5">
      <c r="A5" s="4" t="inlineStr">
        <is>
          <t>Nene Goose</t>
        </is>
      </c>
      <c r="B5" s="4" t="n">
        <v>400</v>
      </c>
      <c r="C5" s="4" t="n">
        <v>3000</v>
      </c>
      <c r="D5" s="11">
        <f>(C5-B5)/B5*100</f>
        <v/>
      </c>
      <c r="E5" s="5">
        <f>IF(D5&gt;20,"📈 Growing",IF(D5&lt;-40,"🚨 Critical","⚠ Declining"))</f>
        <v/>
      </c>
    </row>
    <row r="6">
      <c r="A6" s="4" t="inlineStr">
        <is>
          <t>Kiwikiu</t>
        </is>
      </c>
      <c r="B6" s="4" t="n">
        <v>800</v>
      </c>
      <c r="C6" s="4" t="n">
        <v>150</v>
      </c>
      <c r="D6" s="11">
        <f>(C6-B6)/B6*100</f>
        <v/>
      </c>
      <c r="E6" s="5">
        <f>IF(D6&gt;20,"📈 Growing",IF(D6&lt;-40,"🚨 Critical","⚠ Declining"))</f>
        <v/>
      </c>
    </row>
    <row r="7">
      <c r="A7" s="4" t="inlineStr">
        <is>
          <t>Hawaiian Hoary Bat</t>
        </is>
      </c>
      <c r="B7" s="4" t="n">
        <v>5000</v>
      </c>
      <c r="C7" s="4" t="n">
        <v>1000</v>
      </c>
      <c r="D7" s="11">
        <f>(C7-B7)/B7*100</f>
        <v/>
      </c>
      <c r="E7" s="5">
        <f>IF(D7&gt;20,"📈 Growing",IF(D7&lt;-40,"🚨 Critical","⚠ Declining"))</f>
        <v/>
      </c>
    </row>
    <row r="8">
      <c r="A8" s="4" t="inlineStr">
        <is>
          <t>Iiwi</t>
        </is>
      </c>
      <c r="B8" s="4" t="n">
        <v>300000</v>
      </c>
      <c r="C8" s="4" t="n">
        <v>350000</v>
      </c>
      <c r="D8" s="11">
        <f>(C8-B8)/B8*100</f>
        <v/>
      </c>
      <c r="E8" s="5">
        <f>IF(D8&gt;20,"📈 Growing",IF(D8&lt;-40,"🚨 Critical","⚠ Declining"))</f>
        <v/>
      </c>
    </row>
    <row r="9">
      <c r="A9" s="4" t="inlineStr">
        <is>
          <t>Palila</t>
        </is>
      </c>
      <c r="B9" s="4" t="n">
        <v>7000</v>
      </c>
      <c r="C9" s="4" t="n">
        <v>1000</v>
      </c>
      <c r="D9" s="11">
        <f>(C9-B9)/B9*100</f>
        <v/>
      </c>
      <c r="E9" s="5">
        <f>IF(D9&gt;20,"📈 Growing",IF(D9&lt;-40,"🚨 Critical","⚠ Declining"))</f>
        <v/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